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6550"/>
  </bookViews>
  <sheets>
    <sheet name="PF Standard Invoice format" sheetId="1" r:id="rId1"/>
  </sheets>
  <definedNames>
    <definedName name="_xlnm._FilterDatabase" localSheetId="0" hidden="1">'PF Standard Invoice format'!$A$17:$H$17</definedName>
    <definedName name="_xlnm.Print_Area" localSheetId="0">'PF Standard Invoice format'!$A$1:$H$28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<sst xmlns="http://schemas.openxmlformats.org/spreadsheetml/2006/main" count="81" uniqueCount="58">
  <si>
    <t>E MAX SPORT PTE. LTD.</t>
  </si>
  <si>
    <t>8 KAKI BUKIT AVENUE 4, #08-32,PREMIER @ KAKI BUKIT, SINGAPORE 415875</t>
  </si>
  <si>
    <t>PROFORMA INVOICE</t>
  </si>
  <si>
    <t>PI Number:</t>
  </si>
  <si>
    <r>
      <rPr>
        <sz val="9"/>
        <color rgb="FF00B0F0"/>
        <rFont val="Arial"/>
        <charset val="134"/>
      </rPr>
      <t>RO new PO template A</t>
    </r>
    <r>
      <rPr>
        <sz val="9"/>
        <color rgb="FF00B0F0"/>
        <rFont val="宋体"/>
        <charset val="134"/>
      </rPr>
      <t>列</t>
    </r>
    <r>
      <rPr>
        <sz val="9"/>
        <color rgb="FF00B0F0"/>
        <rFont val="Arial"/>
        <charset val="134"/>
      </rPr>
      <t>"Purchasing Document"</t>
    </r>
  </si>
  <si>
    <t>Document Date:</t>
  </si>
  <si>
    <t>生成日期</t>
  </si>
  <si>
    <t>Payment Terms:</t>
  </si>
  <si>
    <t>Net 90 days</t>
  </si>
  <si>
    <t>固定值</t>
  </si>
  <si>
    <t>Shipment Ex-factory Date:</t>
  </si>
  <si>
    <t>手动更新</t>
  </si>
  <si>
    <t>Bill To:</t>
  </si>
  <si>
    <t>209 Stoneridge Drive</t>
  </si>
  <si>
    <t>Ship to:</t>
  </si>
  <si>
    <t>Rather Outdoors Corporation</t>
  </si>
  <si>
    <t>套装ship to地址不同</t>
  </si>
  <si>
    <t>Columbia, South Carolina 29210</t>
  </si>
  <si>
    <t>6505 Tower Lane</t>
  </si>
  <si>
    <t>United States</t>
  </si>
  <si>
    <t>Claremore, OK 74019-4429</t>
  </si>
  <si>
    <t>Port of Loading:</t>
  </si>
  <si>
    <t>China</t>
  </si>
  <si>
    <t>Actual Manufacturer Company Name</t>
  </si>
  <si>
    <t>Final Destination</t>
  </si>
  <si>
    <t>USA</t>
  </si>
  <si>
    <t>Actual Manufacturer Company Address</t>
  </si>
  <si>
    <t>8 KAKI BUKIT AVENUE 4</t>
  </si>
  <si>
    <t>#08-32,PREMIER @ KAKI BUKIT, SINGAPORE 415875</t>
  </si>
  <si>
    <r>
      <rPr>
        <sz val="9"/>
        <color rgb="FF00B0F0"/>
        <rFont val="Arial"/>
        <charset val="134"/>
      </rPr>
      <t>RO new PO template I</t>
    </r>
    <r>
      <rPr>
        <sz val="9"/>
        <color rgb="FF00B0F0"/>
        <rFont val="宋体"/>
        <charset val="134"/>
      </rPr>
      <t>列</t>
    </r>
    <r>
      <rPr>
        <sz val="9"/>
        <color rgb="FF00B0F0"/>
        <rFont val="Arial"/>
        <charset val="134"/>
      </rPr>
      <t>"Material"</t>
    </r>
  </si>
  <si>
    <r>
      <rPr>
        <sz val="9"/>
        <color rgb="FF00B0F0"/>
        <rFont val="Arial"/>
        <charset val="134"/>
      </rPr>
      <t>RO new PO template J</t>
    </r>
    <r>
      <rPr>
        <sz val="9"/>
        <color rgb="FF00B0F0"/>
        <rFont val="宋体"/>
        <charset val="134"/>
      </rPr>
      <t>列</t>
    </r>
    <r>
      <rPr>
        <sz val="9"/>
        <color rgb="FF00B0F0"/>
        <rFont val="Arial"/>
        <charset val="134"/>
      </rPr>
      <t>"Model",</t>
    </r>
    <r>
      <rPr>
        <sz val="9"/>
        <color rgb="FFFF0000"/>
        <rFont val="Arial"/>
        <charset val="134"/>
      </rPr>
      <t xml:space="preserve"> ZEBCO</t>
    </r>
    <r>
      <rPr>
        <sz val="9"/>
        <color rgb="FFFF0000"/>
        <rFont val="宋体"/>
        <charset val="134"/>
      </rPr>
      <t>和</t>
    </r>
    <r>
      <rPr>
        <sz val="9"/>
        <color rgb="FFFF0000"/>
        <rFont val="Arial"/>
        <charset val="134"/>
      </rPr>
      <t>LEW'S</t>
    </r>
    <r>
      <rPr>
        <sz val="9"/>
        <color rgb="FFFF0000"/>
        <rFont val="宋体"/>
        <charset val="134"/>
      </rPr>
      <t>是否取同一列</t>
    </r>
  </si>
  <si>
    <r>
      <rPr>
        <sz val="9"/>
        <color rgb="FF00B0F0"/>
        <rFont val="Arial"/>
        <charset val="134"/>
      </rPr>
      <t>data base M</t>
    </r>
    <r>
      <rPr>
        <sz val="9"/>
        <color rgb="FF00B0F0"/>
        <rFont val="宋体"/>
        <charset val="134"/>
      </rPr>
      <t>或</t>
    </r>
    <r>
      <rPr>
        <sz val="9"/>
        <color rgb="FF00B0F0"/>
        <rFont val="Arial"/>
        <charset val="134"/>
      </rPr>
      <t>O</t>
    </r>
    <r>
      <rPr>
        <sz val="9"/>
        <color rgb="FF00B0F0"/>
        <rFont val="宋体"/>
        <charset val="134"/>
      </rPr>
      <t>列</t>
    </r>
  </si>
  <si>
    <r>
      <rPr>
        <sz val="9"/>
        <color rgb="FF00B0F0"/>
        <rFont val="Arial"/>
        <charset val="134"/>
      </rPr>
      <t>RO new PO template N</t>
    </r>
    <r>
      <rPr>
        <sz val="9"/>
        <color rgb="FF00B0F0"/>
        <rFont val="宋体"/>
        <charset val="134"/>
      </rPr>
      <t>列</t>
    </r>
    <r>
      <rPr>
        <sz val="9"/>
        <color rgb="FF00B0F0"/>
        <rFont val="Arial"/>
        <charset val="134"/>
      </rPr>
      <t xml:space="preserve"> “Order Quantity”</t>
    </r>
  </si>
  <si>
    <r>
      <rPr>
        <sz val="9"/>
        <color rgb="FF00B0F0"/>
        <rFont val="Arial"/>
        <charset val="134"/>
      </rPr>
      <t>E</t>
    </r>
    <r>
      <rPr>
        <sz val="9"/>
        <color rgb="FF00B0F0"/>
        <rFont val="宋体"/>
        <charset val="134"/>
      </rPr>
      <t>列</t>
    </r>
    <r>
      <rPr>
        <sz val="9"/>
        <color rgb="FF00B0F0"/>
        <rFont val="Arial"/>
        <charset val="134"/>
      </rPr>
      <t>*F</t>
    </r>
    <r>
      <rPr>
        <sz val="9"/>
        <color rgb="FF00B0F0"/>
        <rFont val="宋体"/>
        <charset val="134"/>
      </rPr>
      <t>列</t>
    </r>
  </si>
  <si>
    <t>EMAX/GS to GS PTE PI</t>
  </si>
  <si>
    <t>Country of The Origin</t>
  </si>
  <si>
    <t>PO Number</t>
  </si>
  <si>
    <t>Item Number</t>
  </si>
  <si>
    <t xml:space="preserve">Description </t>
  </si>
  <si>
    <t>USD Unit Price</t>
  </si>
  <si>
    <t>Quantity</t>
  </si>
  <si>
    <t xml:space="preserve">USD Amount </t>
  </si>
  <si>
    <t>EX-FACTORY DATE</t>
  </si>
  <si>
    <t>4500030844</t>
  </si>
  <si>
    <t>21-44900</t>
  </si>
  <si>
    <t>ACA Merit 3000 7' 1PC ML 8-15 SP Combo</t>
  </si>
  <si>
    <t>21-44625</t>
  </si>
  <si>
    <t>Merit 5000 7' 1PC M 12-20 Spin Combo</t>
  </si>
  <si>
    <t>21-44628</t>
  </si>
  <si>
    <t>Merit 5000 8' 2PC MH 12-25 Spin Combo</t>
  </si>
  <si>
    <t>21-44630</t>
  </si>
  <si>
    <t>Merit 6000 7' 1PC MH 12-25 Spin Combo</t>
  </si>
  <si>
    <t>21-44633</t>
  </si>
  <si>
    <t>Merit 6000 9' 2PC MH 15-30 Spin Combo</t>
  </si>
  <si>
    <t>Total</t>
  </si>
  <si>
    <t>Signature:</t>
  </si>
  <si>
    <t>Joyce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</si>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</sst>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/mmm/yy;@"/>
    <numFmt numFmtId="177" formatCode="0.00_);[Red]\(0.00\)"/>
    <numFmt numFmtId="178" formatCode="mmm\-dd\-yyyy"/>
    <numFmt numFmtId="179" formatCode="&quot;$&quot;#,##0.00"/>
    <numFmt numFmtId="180" formatCode="#,##0_ "/>
    <numFmt numFmtId="181" formatCode="yyyy/m/d;@"/>
    <numFmt numFmtId="182" formatCode="\$#,##0.00;\-\$#,##0.00"/>
  </numFmts>
  <fonts count="53">
    <font>
      <sz val="12"/>
      <name val="宋体"/>
      <charset val="134"/>
    </font>
    <font>
      <sz val="9"/>
      <name val="Arial"/>
      <charset val="134"/>
    </font>
    <font>
      <sz val="9"/>
      <color theme="1"/>
      <name val="Arial"/>
      <charset val="134"/>
    </font>
    <font>
      <b/>
      <sz val="20"/>
      <color theme="3" tint="0.399975585192419"/>
      <name val="Bauhaus 93"/>
      <charset val="134"/>
    </font>
    <font>
      <b/>
      <sz val="20"/>
      <color theme="3" tint="0.399975585192419"/>
      <name val="Arial"/>
      <charset val="134"/>
    </font>
    <font>
      <b/>
      <sz val="8"/>
      <name val="Arial Black"/>
      <charset val="134"/>
    </font>
    <font>
      <b/>
      <u/>
      <sz val="22"/>
      <name val="Calibri"/>
      <charset val="134"/>
    </font>
    <font>
      <sz val="9"/>
      <color rgb="FF00B0F0"/>
      <name val="Arial"/>
      <charset val="134"/>
    </font>
    <font>
      <sz val="9"/>
      <color rgb="FF00B0F0"/>
      <name val="宋体"/>
      <charset val="134"/>
    </font>
    <font>
      <b/>
      <sz val="9"/>
      <name val="Arial"/>
      <charset val="134"/>
    </font>
    <font>
      <sz val="9"/>
      <color rgb="FFFF0000"/>
      <name val="宋体"/>
      <charset val="134"/>
    </font>
    <font>
      <sz val="9"/>
      <color rgb="FFFF000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新細明體"/>
      <charset val="136"/>
    </font>
    <font>
      <b/>
      <sz val="15"/>
      <color indexed="62"/>
      <name val="新細明體"/>
      <charset val="134"/>
    </font>
    <font>
      <sz val="12"/>
      <name val="新細明體"/>
      <charset val="134"/>
    </font>
    <font>
      <sz val="12"/>
      <name val="新細明體"/>
      <charset val="136"/>
    </font>
    <font>
      <sz val="12"/>
      <color indexed="9"/>
      <name val="新細明體"/>
      <charset val="136"/>
    </font>
    <font>
      <sz val="12"/>
      <color indexed="19"/>
      <name val="新細明體"/>
      <charset val="134"/>
    </font>
    <font>
      <sz val="12"/>
      <color indexed="10"/>
      <name val="新細明體"/>
      <charset val="134"/>
    </font>
    <font>
      <b/>
      <sz val="18"/>
      <color indexed="62"/>
      <name val="新細明體"/>
      <charset val="136"/>
    </font>
    <font>
      <b/>
      <sz val="15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1"/>
      <color indexed="8"/>
      <name val="宋体"/>
      <charset val="134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2"/>
      <color indexed="10"/>
      <name val="新細明體"/>
      <charset val="136"/>
    </font>
    <font>
      <b/>
      <sz val="12"/>
      <color indexed="9"/>
      <name val="新細明體"/>
      <charset val="136"/>
    </font>
    <font>
      <sz val="12"/>
      <color indexed="10"/>
      <name val="新細明體"/>
      <charset val="136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color indexed="19"/>
      <name val="新細明體"/>
      <charset val="136"/>
    </font>
  </fonts>
  <fills count="5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16">
    <xf numFmtId="176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6" borderId="9" applyNumberFormat="0" applyAlignment="0" applyProtection="0">
      <alignment vertical="center"/>
    </xf>
    <xf numFmtId="0" fontId="23" fillId="6" borderId="8" applyNumberFormat="0" applyAlignment="0" applyProtection="0">
      <alignment vertical="center"/>
    </xf>
    <xf numFmtId="0" fontId="24" fillId="7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176" fontId="32" fillId="35" borderId="0" applyNumberFormat="0" applyBorder="0" applyAlignment="0" applyProtection="0">
      <alignment vertical="center"/>
    </xf>
    <xf numFmtId="176" fontId="32" fillId="36" borderId="0" applyNumberFormat="0" applyBorder="0" applyAlignment="0" applyProtection="0">
      <alignment vertical="center"/>
    </xf>
    <xf numFmtId="176" fontId="32" fillId="37" borderId="0" applyNumberFormat="0" applyBorder="0" applyAlignment="0" applyProtection="0">
      <alignment vertical="center"/>
    </xf>
    <xf numFmtId="176" fontId="32" fillId="38" borderId="0" applyNumberFormat="0" applyBorder="0" applyAlignment="0" applyProtection="0">
      <alignment vertical="center"/>
    </xf>
    <xf numFmtId="176" fontId="32" fillId="39" borderId="0" applyNumberFormat="0" applyBorder="0" applyAlignment="0" applyProtection="0">
      <alignment vertical="center"/>
    </xf>
    <xf numFmtId="176" fontId="32" fillId="37" borderId="0" applyNumberFormat="0" applyBorder="0" applyAlignment="0" applyProtection="0">
      <alignment vertical="center"/>
    </xf>
    <xf numFmtId="176" fontId="33" fillId="0" borderId="0"/>
    <xf numFmtId="176" fontId="0" fillId="0" borderId="0"/>
    <xf numFmtId="176" fontId="33" fillId="0" borderId="0"/>
    <xf numFmtId="176" fontId="33" fillId="0" borderId="0"/>
    <xf numFmtId="176" fontId="34" fillId="0" borderId="0">
      <alignment vertical="center"/>
    </xf>
    <xf numFmtId="176" fontId="35" fillId="0" borderId="0"/>
    <xf numFmtId="176" fontId="0" fillId="0" borderId="0"/>
    <xf numFmtId="176" fontId="32" fillId="39" borderId="0" applyNumberFormat="0" applyBorder="0" applyAlignment="0" applyProtection="0">
      <alignment vertical="center"/>
    </xf>
    <xf numFmtId="176" fontId="32" fillId="36" borderId="0" applyNumberFormat="0" applyBorder="0" applyAlignment="0" applyProtection="0">
      <alignment vertical="center"/>
    </xf>
    <xf numFmtId="176" fontId="32" fillId="40" borderId="0" applyNumberFormat="0" applyBorder="0" applyAlignment="0" applyProtection="0">
      <alignment vertical="center"/>
    </xf>
    <xf numFmtId="176" fontId="32" fillId="41" borderId="0" applyNumberFormat="0" applyBorder="0" applyAlignment="0" applyProtection="0">
      <alignment vertical="center"/>
    </xf>
    <xf numFmtId="176" fontId="32" fillId="39" borderId="0" applyNumberFormat="0" applyBorder="0" applyAlignment="0" applyProtection="0">
      <alignment vertical="center"/>
    </xf>
    <xf numFmtId="176" fontId="32" fillId="37" borderId="0" applyNumberFormat="0" applyBorder="0" applyAlignment="0" applyProtection="0">
      <alignment vertical="center"/>
    </xf>
    <xf numFmtId="176" fontId="36" fillId="39" borderId="0" applyNumberFormat="0" applyBorder="0" applyAlignment="0" applyProtection="0">
      <alignment vertical="center"/>
    </xf>
    <xf numFmtId="176" fontId="36" fillId="42" borderId="0" applyNumberFormat="0" applyBorder="0" applyAlignment="0" applyProtection="0">
      <alignment vertical="center"/>
    </xf>
    <xf numFmtId="176" fontId="36" fillId="43" borderId="0" applyNumberFormat="0" applyBorder="0" applyAlignment="0" applyProtection="0">
      <alignment vertical="center"/>
    </xf>
    <xf numFmtId="176" fontId="36" fillId="41" borderId="0" applyNumberFormat="0" applyBorder="0" applyAlignment="0" applyProtection="0">
      <alignment vertical="center"/>
    </xf>
    <xf numFmtId="176" fontId="36" fillId="39" borderId="0" applyNumberFormat="0" applyBorder="0" applyAlignment="0" applyProtection="0">
      <alignment vertical="center"/>
    </xf>
    <xf numFmtId="176" fontId="36" fillId="36" borderId="0" applyNumberFormat="0" applyBorder="0" applyAlignment="0" applyProtection="0">
      <alignment vertical="center"/>
    </xf>
    <xf numFmtId="176" fontId="35" fillId="0" borderId="0"/>
    <xf numFmtId="176" fontId="37" fillId="0" borderId="0"/>
    <xf numFmtId="176" fontId="38" fillId="0" borderId="0"/>
    <xf numFmtId="176" fontId="37" fillId="0" borderId="0"/>
    <xf numFmtId="176" fontId="35" fillId="37" borderId="13" applyNumberFormat="0" applyFont="0" applyAlignment="0" applyProtection="0">
      <alignment vertical="center"/>
    </xf>
    <xf numFmtId="176" fontId="39" fillId="0" borderId="0" applyNumberFormat="0" applyFill="0" applyBorder="0" applyAlignment="0" applyProtection="0">
      <alignment vertical="center"/>
    </xf>
    <xf numFmtId="176" fontId="40" fillId="0" borderId="14" applyNumberFormat="0" applyFill="0" applyAlignment="0" applyProtection="0">
      <alignment vertical="center"/>
    </xf>
    <xf numFmtId="176" fontId="41" fillId="0" borderId="15" applyNumberFormat="0" applyFill="0" applyAlignment="0" applyProtection="0">
      <alignment vertical="center"/>
    </xf>
    <xf numFmtId="176" fontId="42" fillId="0" borderId="16" applyNumberFormat="0" applyFill="0" applyAlignment="0" applyProtection="0">
      <alignment vertical="center"/>
    </xf>
    <xf numFmtId="176" fontId="42" fillId="0" borderId="0" applyNumberFormat="0" applyFill="0" applyBorder="0" applyAlignment="0" applyProtection="0">
      <alignment vertical="center"/>
    </xf>
    <xf numFmtId="176" fontId="34" fillId="0" borderId="0">
      <alignment vertical="center"/>
    </xf>
    <xf numFmtId="176" fontId="12" fillId="0" borderId="0">
      <alignment vertical="center"/>
    </xf>
    <xf numFmtId="176" fontId="0" fillId="0" borderId="0">
      <alignment vertical="center"/>
    </xf>
    <xf numFmtId="176" fontId="12" fillId="0" borderId="0">
      <alignment vertical="center"/>
    </xf>
    <xf numFmtId="176" fontId="37" fillId="0" borderId="0"/>
    <xf numFmtId="176" fontId="12" fillId="0" borderId="0">
      <alignment vertical="center"/>
    </xf>
    <xf numFmtId="176" fontId="12" fillId="0" borderId="0">
      <alignment vertical="center"/>
    </xf>
    <xf numFmtId="176" fontId="0" fillId="0" borderId="0">
      <alignment vertical="center"/>
    </xf>
    <xf numFmtId="176" fontId="33" fillId="0" borderId="0"/>
    <xf numFmtId="176" fontId="33" fillId="0" borderId="0"/>
    <xf numFmtId="176" fontId="0" fillId="0" borderId="0">
      <alignment vertical="center"/>
    </xf>
    <xf numFmtId="176" fontId="0" fillId="0" borderId="0"/>
    <xf numFmtId="176" fontId="0" fillId="0" borderId="0"/>
    <xf numFmtId="176" fontId="43" fillId="0" borderId="0">
      <alignment vertical="center"/>
    </xf>
    <xf numFmtId="176" fontId="37" fillId="0" borderId="0"/>
    <xf numFmtId="176" fontId="36" fillId="44" borderId="0" applyNumberFormat="0" applyBorder="0" applyAlignment="0" applyProtection="0">
      <alignment vertical="center"/>
    </xf>
    <xf numFmtId="176" fontId="36" fillId="42" borderId="0" applyNumberFormat="0" applyBorder="0" applyAlignment="0" applyProtection="0">
      <alignment vertical="center"/>
    </xf>
    <xf numFmtId="176" fontId="36" fillId="43" borderId="0" applyNumberFormat="0" applyBorder="0" applyAlignment="0" applyProtection="0">
      <alignment vertical="center"/>
    </xf>
    <xf numFmtId="176" fontId="36" fillId="45" borderId="0" applyNumberFormat="0" applyBorder="0" applyAlignment="0" applyProtection="0">
      <alignment vertical="center"/>
    </xf>
    <xf numFmtId="176" fontId="36" fillId="46" borderId="0" applyNumberFormat="0" applyBorder="0" applyAlignment="0" applyProtection="0">
      <alignment vertical="center"/>
    </xf>
    <xf numFmtId="176" fontId="36" fillId="47" borderId="0" applyNumberFormat="0" applyBorder="0" applyAlignment="0" applyProtection="0">
      <alignment vertical="center"/>
    </xf>
    <xf numFmtId="176" fontId="44" fillId="0" borderId="17" applyNumberFormat="0" applyFill="0" applyAlignment="0" applyProtection="0">
      <alignment vertical="center"/>
    </xf>
    <xf numFmtId="176" fontId="45" fillId="48" borderId="0" applyNumberFormat="0" applyBorder="0" applyAlignment="0" applyProtection="0">
      <alignment vertical="center"/>
    </xf>
    <xf numFmtId="176" fontId="46" fillId="49" borderId="18" applyNumberFormat="0" applyAlignment="0" applyProtection="0">
      <alignment vertical="center"/>
    </xf>
    <xf numFmtId="176" fontId="47" fillId="50" borderId="19" applyNumberFormat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20" applyNumberFormat="0" applyFill="0" applyAlignment="0" applyProtection="0">
      <alignment vertical="center"/>
    </xf>
    <xf numFmtId="176" fontId="49" fillId="49" borderId="21" applyNumberFormat="0" applyAlignment="0" applyProtection="0">
      <alignment vertical="center"/>
    </xf>
    <xf numFmtId="176" fontId="50" fillId="40" borderId="18" applyNumberFormat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37" fillId="0" borderId="0"/>
    <xf numFmtId="176" fontId="52" fillId="40" borderId="0" applyNumberFormat="0" applyBorder="0" applyAlignment="0" applyProtection="0">
      <alignment vertical="center"/>
    </xf>
  </cellStyleXfs>
  <cellXfs count="77">
    <xf numFmtId="176" fontId="0" fillId="0" borderId="0" xfId="0">
      <alignment vertical="center"/>
    </xf>
    <xf numFmtId="176" fontId="1" fillId="2" borderId="0" xfId="0" applyFont="1" applyFill="1">
      <alignment vertical="center"/>
    </xf>
    <xf numFmtId="176" fontId="1" fillId="2" borderId="0" xfId="0" applyFont="1" applyFill="1" applyAlignment="1">
      <alignment horizontal="left" vertical="center"/>
    </xf>
    <xf numFmtId="176" fontId="1" fillId="2" borderId="0" xfId="86" applyFont="1" applyFill="1" applyAlignment="1">
      <alignment horizontal="left" vertical="center"/>
    </xf>
    <xf numFmtId="176" fontId="2" fillId="2" borderId="0" xfId="86" applyFont="1" applyFill="1">
      <alignment vertical="center"/>
    </xf>
    <xf numFmtId="176" fontId="1" fillId="2" borderId="0" xfId="86" applyFont="1" applyFill="1">
      <alignment vertical="center"/>
    </xf>
    <xf numFmtId="177" fontId="1" fillId="2" borderId="0" xfId="86" applyNumberFormat="1" applyFont="1" applyFill="1">
      <alignment vertical="center"/>
    </xf>
    <xf numFmtId="176" fontId="3" fillId="2" borderId="0" xfId="0" applyFont="1" applyFill="1" applyAlignment="1">
      <alignment horizontal="left" vertical="center"/>
    </xf>
    <xf numFmtId="176" fontId="4" fillId="2" borderId="0" xfId="0" applyFont="1" applyFill="1" applyAlignment="1">
      <alignment horizontal="left" vertical="center"/>
    </xf>
    <xf numFmtId="177" fontId="1" fillId="2" borderId="0" xfId="0" applyNumberFormat="1" applyFont="1" applyFill="1" applyAlignment="1">
      <alignment horizontal="center" vertical="center"/>
    </xf>
    <xf numFmtId="176" fontId="5" fillId="2" borderId="0" xfId="0" applyFont="1" applyFill="1" applyAlignment="1">
      <alignment horizontal="left" vertical="center"/>
    </xf>
    <xf numFmtId="176" fontId="6" fillId="2" borderId="0" xfId="0" applyFont="1" applyFill="1" applyAlignment="1">
      <alignment horizontal="center" vertical="center"/>
    </xf>
    <xf numFmtId="176" fontId="1" fillId="2" borderId="0" xfId="55" applyFont="1" applyFill="1" applyAlignment="1" applyProtection="1">
      <alignment horizontal="left" vertical="center"/>
      <protection locked="0"/>
    </xf>
    <xf numFmtId="49" fontId="1" fillId="2" borderId="0" xfId="55" applyNumberFormat="1" applyFont="1" applyFill="1" applyAlignment="1" applyProtection="1">
      <alignment horizontal="left" vertical="center"/>
      <protection locked="0"/>
    </xf>
    <xf numFmtId="176" fontId="1" fillId="2" borderId="0" xfId="55" applyFont="1" applyFill="1" applyAlignment="1" applyProtection="1">
      <alignment vertical="center"/>
      <protection locked="0"/>
    </xf>
    <xf numFmtId="176" fontId="1" fillId="2" borderId="0" xfId="0" applyFont="1" applyFill="1" applyAlignment="1">
      <alignment horizontal="right" vertical="center"/>
    </xf>
    <xf numFmtId="49" fontId="1" fillId="2" borderId="0" xfId="55" applyNumberFormat="1" applyFont="1" applyFill="1" applyAlignment="1" applyProtection="1">
      <alignment vertical="center" wrapText="1"/>
      <protection locked="0"/>
    </xf>
    <xf numFmtId="177" fontId="1" fillId="2" borderId="0" xfId="0" applyNumberFormat="1" applyFont="1" applyFill="1">
      <alignment vertical="center"/>
    </xf>
    <xf numFmtId="0" fontId="2" fillId="2" borderId="1" xfId="55" applyNumberFormat="1" applyFont="1" applyFill="1" applyBorder="1" applyAlignment="1" applyProtection="1">
      <alignment horizontal="left" vertical="center" wrapText="1"/>
      <protection locked="0"/>
    </xf>
    <xf numFmtId="176" fontId="7" fillId="2" borderId="0" xfId="0" applyFont="1" applyFill="1" applyAlignment="1">
      <alignment horizontal="left" vertical="center"/>
    </xf>
    <xf numFmtId="178" fontId="2" fillId="2" borderId="2" xfId="55" applyNumberFormat="1" applyFont="1" applyFill="1" applyBorder="1" applyAlignment="1" applyProtection="1">
      <alignment horizontal="left" vertical="center" wrapText="1"/>
      <protection locked="0"/>
    </xf>
    <xf numFmtId="49" fontId="8" fillId="2" borderId="0" xfId="55" applyNumberFormat="1" applyFont="1" applyFill="1" applyAlignment="1" applyProtection="1">
      <alignment horizontal="left" vertical="center" wrapText="1"/>
      <protection locked="0"/>
    </xf>
    <xf numFmtId="177" fontId="1" fillId="2" borderId="0" xfId="0" applyNumberFormat="1" applyFont="1" applyFill="1" applyAlignment="1">
      <alignment horizontal="left" vertical="center"/>
    </xf>
    <xf numFmtId="49" fontId="1" fillId="2" borderId="1" xfId="55" applyNumberFormat="1" applyFont="1" applyFill="1" applyBorder="1" applyAlignment="1" applyProtection="1">
      <alignment horizontal="left" vertical="center"/>
      <protection locked="0"/>
    </xf>
    <xf numFmtId="176" fontId="8" fillId="2" borderId="0" xfId="0" applyFont="1" applyFill="1" applyAlignment="1">
      <alignment horizontal="left" vertical="center"/>
    </xf>
    <xf numFmtId="178" fontId="2" fillId="3" borderId="2" xfId="55" applyNumberFormat="1" applyFont="1" applyFill="1" applyBorder="1" applyAlignment="1" applyProtection="1">
      <alignment horizontal="left" vertical="center" wrapText="1"/>
      <protection locked="0"/>
    </xf>
    <xf numFmtId="49" fontId="8" fillId="2" borderId="0" xfId="55" applyNumberFormat="1" applyFont="1" applyFill="1" applyAlignment="1" applyProtection="1">
      <alignment horizontal="left" vertical="center"/>
      <protection locked="0"/>
    </xf>
    <xf numFmtId="176" fontId="1" fillId="2" borderId="0" xfId="76" applyFont="1" applyFill="1" applyAlignment="1">
      <alignment horizontal="left" vertical="center"/>
    </xf>
    <xf numFmtId="179" fontId="1" fillId="2" borderId="0" xfId="76" applyNumberFormat="1" applyFont="1" applyFill="1" applyAlignment="1">
      <alignment horizontal="left" vertical="center"/>
    </xf>
    <xf numFmtId="177" fontId="1" fillId="2" borderId="0" xfId="76" applyNumberFormat="1" applyFont="1" applyFill="1" applyAlignment="1">
      <alignment horizontal="left" vertical="center"/>
    </xf>
    <xf numFmtId="176" fontId="1" fillId="0" borderId="1" xfId="0" applyFont="1" applyBorder="1" applyAlignment="1">
      <alignment horizontal="left" vertical="center"/>
    </xf>
    <xf numFmtId="176" fontId="9" fillId="0" borderId="1" xfId="55" applyFont="1" applyBorder="1" applyAlignment="1" applyProtection="1">
      <alignment horizontal="left" vertical="center"/>
      <protection locked="0"/>
    </xf>
    <xf numFmtId="176" fontId="1" fillId="2" borderId="0" xfId="0" applyFont="1" applyFill="1" applyAlignment="1">
      <alignment horizontal="left" vertical="center" wrapText="1"/>
    </xf>
    <xf numFmtId="176" fontId="1" fillId="2" borderId="0" xfId="55" applyFont="1" applyFill="1" applyAlignment="1" applyProtection="1">
      <alignment horizontal="right" vertical="center"/>
      <protection locked="0"/>
    </xf>
    <xf numFmtId="176" fontId="10" fillId="2" borderId="0" xfId="0" applyFont="1" applyFill="1" applyAlignment="1">
      <alignment horizontal="left" vertical="center"/>
    </xf>
    <xf numFmtId="176" fontId="1" fillId="2" borderId="0" xfId="88" applyFont="1" applyFill="1" applyAlignment="1">
      <alignment horizontal="left" vertical="center"/>
    </xf>
    <xf numFmtId="176" fontId="1" fillId="0" borderId="2" xfId="0" applyFont="1" applyBorder="1" applyAlignment="1">
      <alignment horizontal="left" vertical="center"/>
    </xf>
    <xf numFmtId="176" fontId="9" fillId="0" borderId="2" xfId="55" applyFont="1" applyBorder="1" applyAlignment="1" applyProtection="1">
      <alignment horizontal="left" vertical="center"/>
      <protection locked="0"/>
    </xf>
    <xf numFmtId="176" fontId="1" fillId="2" borderId="0" xfId="86" applyFont="1" applyFill="1" applyAlignment="1">
      <alignment horizontal="right" vertical="center"/>
    </xf>
    <xf numFmtId="176" fontId="1" fillId="2" borderId="0" xfId="84" applyFont="1" applyFill="1" applyAlignment="1">
      <alignment horizontal="left"/>
    </xf>
    <xf numFmtId="177" fontId="1" fillId="2" borderId="0" xfId="86" applyNumberFormat="1" applyFont="1" applyFill="1" applyAlignment="1">
      <alignment horizontal="left" vertical="center"/>
    </xf>
    <xf numFmtId="176" fontId="1" fillId="2" borderId="1" xfId="0" applyFont="1" applyFill="1" applyBorder="1" applyAlignment="1">
      <alignment horizontal="left" vertical="center"/>
    </xf>
    <xf numFmtId="176" fontId="1" fillId="0" borderId="1" xfId="55" applyFont="1" applyBorder="1" applyAlignment="1" applyProtection="1">
      <alignment horizontal="left" vertical="center" wrapText="1"/>
      <protection locked="0"/>
    </xf>
    <xf numFmtId="176" fontId="1" fillId="2" borderId="2" xfId="0" applyFont="1" applyFill="1" applyBorder="1" applyAlignment="1">
      <alignment horizontal="left" vertical="center" wrapText="1"/>
    </xf>
    <xf numFmtId="176" fontId="1" fillId="2" borderId="1" xfId="0" applyFont="1" applyFill="1" applyBorder="1" applyAlignment="1">
      <alignment horizontal="left" vertical="center" wrapText="1"/>
    </xf>
    <xf numFmtId="176" fontId="1" fillId="0" borderId="1" xfId="55" applyFont="1" applyBorder="1" applyAlignment="1" applyProtection="1">
      <alignment horizontal="left" vertical="center"/>
      <protection locked="0"/>
    </xf>
    <xf numFmtId="176" fontId="1" fillId="0" borderId="2" xfId="55" applyFont="1" applyBorder="1" applyAlignment="1" applyProtection="1">
      <alignment horizontal="left" vertical="center" wrapText="1"/>
      <protection locked="0"/>
    </xf>
    <xf numFmtId="176" fontId="7" fillId="2" borderId="0" xfId="0" applyFont="1" applyFill="1" applyAlignment="1">
      <alignment horizontal="left" vertical="center" wrapText="1"/>
    </xf>
    <xf numFmtId="49" fontId="1" fillId="2" borderId="3" xfId="77" applyNumberFormat="1" applyFont="1" applyFill="1" applyBorder="1" applyAlignment="1">
      <alignment horizontal="center" vertical="center" wrapText="1"/>
    </xf>
    <xf numFmtId="176" fontId="1" fillId="2" borderId="3" xfId="76" applyFont="1" applyFill="1" applyBorder="1" applyAlignment="1">
      <alignment horizontal="center" vertical="center"/>
    </xf>
    <xf numFmtId="49" fontId="1" fillId="2" borderId="3" xfId="77" applyNumberFormat="1" applyFont="1" applyFill="1" applyBorder="1" applyAlignment="1">
      <alignment horizontal="center" vertical="center"/>
    </xf>
    <xf numFmtId="177" fontId="1" fillId="2" borderId="3" xfId="76" applyNumberFormat="1" applyFont="1" applyFill="1" applyBorder="1" applyAlignment="1">
      <alignment horizontal="center" vertical="center" wrapText="1"/>
    </xf>
    <xf numFmtId="179" fontId="1" fillId="2" borderId="3" xfId="76" applyNumberFormat="1" applyFont="1" applyFill="1" applyBorder="1" applyAlignment="1">
      <alignment horizontal="center" vertical="center"/>
    </xf>
    <xf numFmtId="177" fontId="1" fillId="2" borderId="3" xfId="86" applyNumberFormat="1" applyFont="1" applyFill="1" applyBorder="1" applyAlignment="1">
      <alignment horizontal="center" vertical="center" wrapText="1"/>
    </xf>
    <xf numFmtId="49" fontId="1" fillId="2" borderId="4" xfId="77" applyNumberFormat="1" applyFont="1" applyFill="1" applyBorder="1" applyAlignment="1">
      <alignment horizontal="center" vertical="center" wrapText="1"/>
    </xf>
    <xf numFmtId="176" fontId="1" fillId="2" borderId="4" xfId="76" applyFont="1" applyFill="1" applyBorder="1" applyAlignment="1">
      <alignment horizontal="center" vertical="center"/>
    </xf>
    <xf numFmtId="49" fontId="1" fillId="2" borderId="4" xfId="77" applyNumberFormat="1" applyFont="1" applyFill="1" applyBorder="1" applyAlignment="1">
      <alignment horizontal="center" vertical="center"/>
    </xf>
    <xf numFmtId="26" fontId="1" fillId="2" borderId="4" xfId="76" applyNumberFormat="1" applyFont="1" applyFill="1" applyBorder="1" applyAlignment="1">
      <alignment horizontal="center" vertical="center" wrapText="1"/>
    </xf>
    <xf numFmtId="180" fontId="1" fillId="2" borderId="4" xfId="76" applyNumberFormat="1" applyFont="1" applyFill="1" applyBorder="1" applyAlignment="1">
      <alignment horizontal="center" vertical="center"/>
    </xf>
    <xf numFmtId="181" fontId="1" fillId="2" borderId="4" xfId="86" applyNumberFormat="1" applyFont="1" applyFill="1" applyBorder="1" applyAlignment="1">
      <alignment horizontal="center" vertical="center" wrapText="1"/>
    </xf>
    <xf numFmtId="26" fontId="1" fillId="2" borderId="3" xfId="76" applyNumberFormat="1" applyFont="1" applyFill="1" applyBorder="1" applyAlignment="1">
      <alignment horizontal="center" vertical="center" wrapText="1"/>
    </xf>
    <xf numFmtId="180" fontId="1" fillId="2" borderId="3" xfId="76" applyNumberFormat="1" applyFont="1" applyFill="1" applyBorder="1" applyAlignment="1">
      <alignment horizontal="center" vertical="center"/>
    </xf>
    <xf numFmtId="176" fontId="1" fillId="2" borderId="3" xfId="76" applyNumberFormat="1" applyFont="1" applyFill="1" applyBorder="1" applyAlignment="1">
      <alignment horizontal="center" vertical="center"/>
    </xf>
    <xf numFmtId="49" fontId="1" fillId="2" borderId="0" xfId="77" applyNumberFormat="1" applyFont="1" applyFill="1" applyAlignment="1">
      <alignment horizontal="center" vertical="center" wrapText="1"/>
    </xf>
    <xf numFmtId="181" fontId="1" fillId="2" borderId="0" xfId="86" applyNumberFormat="1" applyFont="1" applyFill="1" applyAlignment="1">
      <alignment horizontal="center" vertical="center" wrapText="1"/>
    </xf>
    <xf numFmtId="176" fontId="1" fillId="2" borderId="0" xfId="57" applyFont="1" applyFill="1" applyAlignment="1">
      <alignment vertical="center"/>
    </xf>
    <xf numFmtId="176" fontId="11" fillId="2" borderId="0" xfId="57" applyFont="1" applyFill="1" applyAlignment="1">
      <alignment vertical="center"/>
    </xf>
    <xf numFmtId="176" fontId="11" fillId="2" borderId="0" xfId="57" applyFont="1" applyFill="1" applyAlignment="1">
      <alignment horizontal="center" vertical="center"/>
    </xf>
    <xf numFmtId="177" fontId="2" fillId="2" borderId="0" xfId="98" applyNumberFormat="1" applyFont="1" applyFill="1" applyAlignment="1">
      <alignment horizontal="left" vertical="center"/>
    </xf>
    <xf numFmtId="182" fontId="2" fillId="2" borderId="1" xfId="57" applyNumberFormat="1" applyFont="1" applyFill="1" applyBorder="1" applyAlignment="1">
      <alignment horizontal="center" vertical="center"/>
    </xf>
    <xf numFmtId="40" fontId="2" fillId="2" borderId="1" xfId="98" applyNumberFormat="1" applyFont="1" applyFill="1" applyBorder="1" applyAlignment="1">
      <alignment horizontal="center" vertical="center"/>
    </xf>
    <xf numFmtId="177" fontId="2" fillId="2" borderId="0" xfId="86" applyNumberFormat="1" applyFont="1" applyFill="1">
      <alignment vertical="center"/>
    </xf>
    <xf numFmtId="176" fontId="2" fillId="2" borderId="0" xfId="0" applyFont="1" applyFill="1">
      <alignment vertical="center"/>
    </xf>
    <xf numFmtId="176" fontId="2" fillId="2" borderId="0" xfId="75" applyFont="1" applyFill="1" applyAlignment="1">
      <alignment horizontal="left"/>
    </xf>
    <xf numFmtId="176" fontId="2" fillId="2" borderId="1" xfId="86" applyFont="1" applyFill="1" applyBorder="1">
      <alignment vertical="center"/>
    </xf>
    <xf numFmtId="176" fontId="2" fillId="2" borderId="0" xfId="86" applyFont="1" applyFill="1" applyAlignment="1">
      <alignment horizontal="left"/>
    </xf>
    <xf numFmtId="176" fontId="2" fillId="2" borderId="2" xfId="86" applyFont="1" applyFill="1" applyBorder="1">
      <alignment vertical="center"/>
    </xf>
  </cellXfs>
  <cellStyles count="11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輔色1" xfId="49"/>
    <cellStyle name="20% - 輔色2" xfId="50"/>
    <cellStyle name="20% - 輔色3" xfId="51"/>
    <cellStyle name="20% - 輔色4" xfId="52"/>
    <cellStyle name="20% - 輔色5" xfId="53"/>
    <cellStyle name="20% - 輔色6" xfId="54"/>
    <cellStyle name="25*62*210" xfId="55"/>
    <cellStyle name="25*62*210 10" xfId="56"/>
    <cellStyle name="25*62*210 10 2" xfId="57"/>
    <cellStyle name="25*62*210 10 2 2" xfId="58"/>
    <cellStyle name="25*62*210 2" xfId="59"/>
    <cellStyle name="25*62*210 3" xfId="60"/>
    <cellStyle name="25*62*210_TF111579~-PL-Global Tackle" xfId="61"/>
    <cellStyle name="40% - 輔色1" xfId="62"/>
    <cellStyle name="40% - 輔色2" xfId="63"/>
    <cellStyle name="40% - 輔色3" xfId="64"/>
    <cellStyle name="40% - 輔色4" xfId="65"/>
    <cellStyle name="40% - 輔色5" xfId="66"/>
    <cellStyle name="40% - 輔色6" xfId="67"/>
    <cellStyle name="60% - 輔色1" xfId="68"/>
    <cellStyle name="60% - 輔色2" xfId="69"/>
    <cellStyle name="60% - 輔色3" xfId="70"/>
    <cellStyle name="60% - 輔色4" xfId="71"/>
    <cellStyle name="60% - 輔色5" xfId="72"/>
    <cellStyle name="60% - 輔色6" xfId="73"/>
    <cellStyle name="Normal 2" xfId="74"/>
    <cellStyle name="Normal_Sheet1 2" xfId="75"/>
    <cellStyle name="Normal_Sheet1_1 2" xfId="76"/>
    <cellStyle name="Normal_Sheet2 2" xfId="77"/>
    <cellStyle name="備註" xfId="78"/>
    <cellStyle name="標題" xfId="79"/>
    <cellStyle name="標題 1" xfId="80"/>
    <cellStyle name="標題 2" xfId="81"/>
    <cellStyle name="標題 3" xfId="82"/>
    <cellStyle name="標題 4" xfId="83"/>
    <cellStyle name="常规 10" xfId="84"/>
    <cellStyle name="常规 13" xfId="85"/>
    <cellStyle name="常规 2" xfId="86"/>
    <cellStyle name="常规 2 2" xfId="87"/>
    <cellStyle name="常规 2 3" xfId="88"/>
    <cellStyle name="常规 2 4" xfId="89"/>
    <cellStyle name="常规 2 5" xfId="90"/>
    <cellStyle name="常规 3" xfId="91"/>
    <cellStyle name="常规 4" xfId="92"/>
    <cellStyle name="常规 5" xfId="93"/>
    <cellStyle name="常规 6" xfId="94"/>
    <cellStyle name="常规 7" xfId="95"/>
    <cellStyle name="常规 8" xfId="96"/>
    <cellStyle name="常规 9" xfId="97"/>
    <cellStyle name="常规_Sheet1 2" xfId="98"/>
    <cellStyle name="輔色1" xfId="99"/>
    <cellStyle name="輔色2" xfId="100"/>
    <cellStyle name="輔色3" xfId="101"/>
    <cellStyle name="輔色4" xfId="102"/>
    <cellStyle name="輔色5" xfId="103"/>
    <cellStyle name="輔色6" xfId="104"/>
    <cellStyle name="合計" xfId="105"/>
    <cellStyle name="壞" xfId="106"/>
    <cellStyle name="計算方式" xfId="107"/>
    <cellStyle name="檢查儲存格" xfId="108"/>
    <cellStyle name="警告文字" xfId="109"/>
    <cellStyle name="連結的儲存格" xfId="110"/>
    <cellStyle name="輸出" xfId="111"/>
    <cellStyle name="輸入" xfId="112"/>
    <cellStyle name="說明文字" xfId="113"/>
    <cellStyle name="样式 1 2" xfId="114"/>
    <cellStyle name="中等" xfId="115"/>
  </cellStyles>
  <tableStyles count="0" defaultTableStyle="TableStyleMedium9" defaultPivotStyle="PivotStyleLight16"/>
  <colors>
    <mruColors>
      <color rgb="00FFFF9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I28"/>
  <sheetViews>
    <sheetView tabSelected="1" topLeftCell="A8" workbookViewId="0">
      <selection activeCell="B16" sqref="B16"/>
    </sheetView>
  </sheetViews>
  <sheetFormatPr defaultColWidth="9" defaultRowHeight="11.5"/>
  <cols>
    <col min="1" max="1" width="17.75" style="5" customWidth="1"/>
    <col min="2" max="2" width="13" style="5" customWidth="1"/>
    <col min="3" max="3" width="11" style="5" customWidth="1"/>
    <col min="4" max="4" width="31.8333333333333" style="5" customWidth="1"/>
    <col min="5" max="5" width="13" style="5" customWidth="1"/>
    <col min="6" max="6" width="12.75" style="5" customWidth="1"/>
    <col min="7" max="7" width="13.125" style="5" customWidth="1"/>
    <col min="8" max="8" width="16.5" style="5" customWidth="1"/>
    <col min="9" max="9" width="11.375" style="6" customWidth="1"/>
    <col min="10" max="16384" width="9" style="5"/>
  </cols>
  <sheetData>
    <row r="1" s="1" customFormat="1" ht="25.5" customHeight="1" spans="1:9">
      <c r="A1" s="7" t="s">
        <v>0</v>
      </c>
      <c r="B1" s="8"/>
      <c r="C1" s="8"/>
      <c r="D1" s="8"/>
      <c r="E1" s="8"/>
      <c r="F1" s="8"/>
      <c r="G1" s="8"/>
      <c r="H1" s="8"/>
      <c r="I1" s="9"/>
    </row>
    <row r="2" s="1" customFormat="1" ht="21.95" customHeight="1" spans="1:9">
      <c r="A2" s="10" t="s">
        <v>1</v>
      </c>
      <c r="B2" s="10"/>
      <c r="C2" s="10"/>
      <c r="D2" s="10"/>
      <c r="E2" s="10"/>
      <c r="F2" s="10"/>
      <c r="G2" s="10"/>
      <c r="H2" s="10"/>
      <c r="I2" s="9"/>
    </row>
    <row r="3" s="1" customFormat="1" ht="18.95" customHeight="1" spans="1:9">
      <c r="I3" s="9"/>
    </row>
    <row r="4" s="1" customFormat="1" ht="27.95" customHeight="1" spans="1:9">
      <c r="A4" s="11" t="s">
        <v>2</v>
      </c>
      <c r="B4" s="11"/>
      <c r="C4" s="11"/>
      <c r="D4" s="11"/>
      <c r="E4" s="11"/>
      <c r="F4" s="11"/>
      <c r="G4" s="11"/>
      <c r="H4" s="11"/>
      <c r="I4" s="9"/>
    </row>
    <row r="5" s="1" customFormat="1" ht="15.95" customHeight="1" spans="1:9">
      <c r="A5" s="12"/>
      <c r="B5" s="13"/>
      <c r="E5" s="14"/>
      <c r="F5" s="15"/>
      <c r="G5" s="16"/>
      <c r="H5" s="16"/>
      <c r="I5" s="17"/>
    </row>
    <row r="6" s="2" customFormat="1" ht="15.95" customHeight="1" spans="1:9">
      <c r="A6" s="12" t="s">
        <v>3</v>
      </c>
      <c r="B6" s="18">
        <v>4500030844</v>
      </c>
      <c r="C6" s="19" t="s">
        <v>4</v>
      </c>
      <c r="E6" s="12"/>
      <c r="F6" s="15" t="s">
        <v>5</v>
      </c>
      <c r="G6" s="20">
        <v>46052</v>
      </c>
      <c r="H6" s="21" t="s">
        <v>6</v>
      </c>
      <c r="I6" s="22"/>
    </row>
    <row r="7" s="2" customFormat="1" ht="15.95" customHeight="1" spans="1:9">
      <c r="A7" s="12" t="s">
        <v>7</v>
      </c>
      <c r="B7" s="23" t="s">
        <v>8</v>
      </c>
      <c r="C7" s="24" t="s">
        <v>9</v>
      </c>
      <c r="E7" s="12"/>
      <c r="F7" s="15" t="s">
        <v>10</v>
      </c>
      <c r="G7" s="25">
        <v>46162</v>
      </c>
      <c r="H7" s="26" t="s">
        <v>11</v>
      </c>
      <c r="I7" s="22"/>
    </row>
    <row r="8" s="2" customFormat="1" ht="15.95" customHeight="1" spans="1:9">
      <c r="A8" s="27"/>
      <c r="E8" s="12"/>
      <c r="F8" s="15"/>
      <c r="G8" s="12"/>
      <c r="H8" s="28"/>
      <c r="I8" s="29"/>
    </row>
    <row r="9" s="2" customFormat="1" ht="15.95" customHeight="1" spans="1:9">
      <c r="A9" s="27" t="s">
        <v>12</v>
      </c>
      <c r="B9" s="30" t="s">
        <v>13</v>
      </c>
      <c r="C9" s="31"/>
      <c r="D9" s="24" t="s">
        <v>9</v>
      </c>
      <c r="E9" s="32"/>
      <c r="F9" s="33" t="s">
        <v>14</v>
      </c>
      <c r="G9" s="30" t="s">
        <v>15</v>
      </c>
      <c r="H9" s="30"/>
      <c r="I9" s="34" t="s">
        <v>16</v>
      </c>
    </row>
    <row r="10" s="2" customFormat="1" ht="15.95" customHeight="1" spans="1:9">
      <c r="A10" s="35"/>
      <c r="B10" s="36" t="s">
        <v>17</v>
      </c>
      <c r="C10" s="37"/>
      <c r="D10" s="24" t="s">
        <v>9</v>
      </c>
      <c r="E10" s="32"/>
      <c r="F10" s="15"/>
      <c r="G10" s="36" t="s">
        <v>18</v>
      </c>
      <c r="H10" s="36"/>
      <c r="I10" s="34" t="s">
        <v>16</v>
      </c>
    </row>
    <row r="11" s="3" customFormat="1" ht="15.95" customHeight="1" spans="1:9">
      <c r="A11" s="27"/>
      <c r="B11" s="36" t="s">
        <v>19</v>
      </c>
      <c r="C11" s="37"/>
      <c r="D11" s="24" t="s">
        <v>9</v>
      </c>
      <c r="E11" s="32"/>
      <c r="F11" s="38"/>
      <c r="G11" s="36" t="s">
        <v>20</v>
      </c>
      <c r="H11" s="36"/>
      <c r="I11" s="34" t="s">
        <v>16</v>
      </c>
    </row>
    <row r="12" s="3" customFormat="1" ht="15.95" customHeight="1" spans="1:9">
      <c r="E12" s="32"/>
      <c r="F12" s="38"/>
      <c r="G12" s="12"/>
      <c r="H12" s="39"/>
      <c r="I12" s="40"/>
    </row>
    <row r="13" s="3" customFormat="1" ht="18.95" customHeight="1" spans="1:9">
      <c r="A13" s="12" t="s">
        <v>21</v>
      </c>
      <c r="B13" s="41" t="s">
        <v>22</v>
      </c>
      <c r="C13" s="24" t="s">
        <v>9</v>
      </c>
      <c r="D13" s="41"/>
      <c r="E13" s="32"/>
      <c r="F13" s="15" t="s">
        <v>23</v>
      </c>
      <c r="G13" s="42" t="s">
        <v>0</v>
      </c>
      <c r="H13" s="42"/>
      <c r="I13" s="24" t="s">
        <v>9</v>
      </c>
    </row>
    <row r="14" s="3" customFormat="1" ht="15.95" customHeight="1" spans="1:9">
      <c r="A14" s="12" t="s">
        <v>24</v>
      </c>
      <c r="B14" s="43" t="s">
        <v>25</v>
      </c>
      <c r="C14" s="24" t="s">
        <v>9</v>
      </c>
      <c r="D14" s="44"/>
      <c r="E14" s="32"/>
      <c r="F14" s="15" t="s">
        <v>26</v>
      </c>
      <c r="G14" s="45" t="s">
        <v>27</v>
      </c>
      <c r="H14" s="45"/>
      <c r="I14" s="24" t="s">
        <v>9</v>
      </c>
    </row>
    <row r="15" s="3" customFormat="1" ht="24" customHeight="1" spans="1:9">
      <c r="A15" s="27"/>
      <c r="B15" s="32"/>
      <c r="C15" s="32"/>
      <c r="D15" s="32"/>
      <c r="E15" s="32"/>
      <c r="F15" s="38"/>
      <c r="G15" s="46" t="s">
        <v>28</v>
      </c>
      <c r="H15" s="46"/>
      <c r="I15" s="24" t="s">
        <v>9</v>
      </c>
    </row>
    <row r="16" ht="38" customHeight="1" spans="1:9">
      <c r="B16" s="47" t="s">
        <v>4</v>
      </c>
      <c r="C16" s="47" t="s">
        <v>29</v>
      </c>
      <c r="D16" s="47" t="s">
        <v>30</v>
      </c>
      <c r="E16" s="47" t="s">
        <v>31</v>
      </c>
      <c r="F16" s="47" t="s">
        <v>32</v>
      </c>
      <c r="G16" s="47" t="s">
        <v>33</v>
      </c>
      <c r="H16" s="47" t="s">
        <v>34</v>
      </c>
    </row>
    <row r="17" ht="24" customHeight="1" spans="1:9">
      <c r="A17" s="48" t="s">
        <v>35</v>
      </c>
      <c r="B17" s="48" t="s">
        <v>36</v>
      </c>
      <c r="C17" s="49" t="s">
        <v>37</v>
      </c>
      <c r="D17" s="50" t="s">
        <v>38</v>
      </c>
      <c r="E17" s="51" t="s">
        <v>39</v>
      </c>
      <c r="F17" s="49" t="s">
        <v>40</v>
      </c>
      <c r="G17" s="52" t="s">
        <v>41</v>
      </c>
      <c r="H17" s="53" t="s">
        <v>42</v>
      </c>
    </row>
    <row r="18" ht="24" customHeight="1" spans="1:9">
      <c r="A18" s="54" t="s">
        <v>22</v>
      </c>
      <c r="B18" s="54" t="s">
        <v>43</v>
      </c>
      <c r="C18" s="55" t="s">
        <v>44</v>
      </c>
      <c r="D18" s="56" t="s">
        <v>45</v>
      </c>
      <c r="E18" s="57">
        <v>26.82</v>
      </c>
      <c r="F18" s="58">
        <v>504</v>
      </c>
      <c r="G18" s="57">
        <f>F18*E18</f>
        <v>13517.28</v>
      </c>
      <c r="H18" s="59">
        <v>46162</v>
      </c>
    </row>
    <row r="19" ht="24" customHeight="1" spans="1:9">
      <c r="A19" s="54" t="s">
        <v>22</v>
      </c>
      <c r="B19" s="54" t="s">
        <v>43</v>
      </c>
      <c r="C19" s="49" t="s">
        <v>46</v>
      </c>
      <c r="D19" s="50" t="s">
        <v>47</v>
      </c>
      <c r="E19" s="60">
        <v>31.82</v>
      </c>
      <c r="F19" s="61">
        <v>520</v>
      </c>
      <c r="G19" s="57">
        <f>F19*E19</f>
        <v>16546.4</v>
      </c>
      <c r="H19" s="59">
        <v>46162</v>
      </c>
    </row>
    <row r="20" ht="24" customHeight="1" spans="1:9">
      <c r="A20" s="54" t="s">
        <v>22</v>
      </c>
      <c r="B20" s="54" t="s">
        <v>43</v>
      </c>
      <c r="C20" s="49" t="s">
        <v>48</v>
      </c>
      <c r="D20" s="50" t="s">
        <v>49</v>
      </c>
      <c r="E20" s="60">
        <v>32.82</v>
      </c>
      <c r="F20" s="61">
        <v>200</v>
      </c>
      <c r="G20" s="57">
        <f>F20*E20</f>
        <v>6564</v>
      </c>
      <c r="H20" s="59">
        <v>46162</v>
      </c>
    </row>
    <row r="21" ht="24" customHeight="1" spans="1:9">
      <c r="A21" s="54" t="s">
        <v>22</v>
      </c>
      <c r="B21" s="54" t="s">
        <v>43</v>
      </c>
      <c r="C21" s="49" t="s">
        <v>50</v>
      </c>
      <c r="D21" s="50" t="s">
        <v>51</v>
      </c>
      <c r="E21" s="60">
        <v>32.68</v>
      </c>
      <c r="F21" s="61">
        <v>300</v>
      </c>
      <c r="G21" s="57">
        <f>F21*E21</f>
        <v>9804</v>
      </c>
      <c r="H21" s="59">
        <v>46162</v>
      </c>
    </row>
    <row r="22" ht="24" customHeight="1" spans="1:9">
      <c r="A22" s="54" t="s">
        <v>22</v>
      </c>
      <c r="B22" s="54" t="s">
        <v>43</v>
      </c>
      <c r="C22" s="62" t="s">
        <v>52</v>
      </c>
      <c r="D22" s="50" t="s">
        <v>53</v>
      </c>
      <c r="E22" s="60">
        <v>34.01</v>
      </c>
      <c r="F22" s="61">
        <v>200</v>
      </c>
      <c r="G22" s="57">
        <f>F22*E22</f>
        <v>6802</v>
      </c>
      <c r="H22" s="59">
        <v>46162</v>
      </c>
    </row>
    <row r="23" ht="24" customHeight="1" spans="1:9">
      <c r="A23" s="63"/>
      <c r="B23" s="63"/>
      <c r="C23" s="63"/>
      <c r="D23" s="63"/>
      <c r="E23" s="63"/>
      <c r="F23" s="63"/>
      <c r="G23" s="63"/>
      <c r="H23" s="63"/>
      <c r="I23" s="64"/>
    </row>
    <row r="24" ht="15.95" customHeight="1" spans="1:9">
      <c r="A24" s="65"/>
      <c r="B24" s="66"/>
      <c r="C24" s="66"/>
      <c r="D24" s="66"/>
      <c r="E24" s="67"/>
      <c r="F24" s="68" t="s">
        <v>54</v>
      </c>
      <c r="G24" s="69">
        <f>SUM(G18:G22)</f>
        <v>53233.68</v>
      </c>
      <c r="H24" s="70"/>
    </row>
    <row r="25" s="4" customFormat="1" ht="15.95" customHeight="1" spans="1:9">
      <c r="I25" s="71"/>
    </row>
    <row r="26" s="4" customFormat="1" ht="15.95" customHeight="1" spans="1:9">
      <c r="A26" s="72"/>
      <c r="F26" s="73" t="s">
        <v>55</v>
      </c>
      <c r="G26" s="74" t="s">
        <v>56</v>
      </c>
      <c r="H26" s="74"/>
      <c r="I26" s="26" t="s">
        <v>11</v>
      </c>
    </row>
    <row r="27" s="4" customFormat="1" ht="15.95" customHeight="1" spans="1:9">
      <c r="A27" s="72"/>
      <c r="F27" s="75" t="s">
        <v>57</v>
      </c>
      <c r="G27" s="20">
        <v>46052</v>
      </c>
      <c r="H27" s="76"/>
      <c r="I27" s="21" t="s">
        <v>6</v>
      </c>
    </row>
    <row r="28" s="4" customFormat="1" spans="1:9">
      <c r="I28" s="71"/>
    </row>
  </sheetData>
  <mergeCells count="5">
    <mergeCell ref="A1:H1"/>
    <mergeCell ref="A2:H2"/>
    <mergeCell ref="A4:H4"/>
    <mergeCell ref="G13:H13"/>
    <mergeCell ref="G15:H15"/>
  </mergeCells>
  <pageMargins left="0.196850393700787" right="0.236220472440945" top="0.275590551181102" bottom="0.31496062992126" header="0.236220472440945" footer="0.196850393700787"/>
  <pageSetup paperSize="1" scale="80" orientation="portrait" verticalDpi="203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www.ftpdown.com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PF Standard Invoice format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FtpDown</dc:creator>
  <cp:lastModifiedBy>Joyce</cp:lastModifiedBy>
  <dcterms:created xsi:type="dcterms:W3CDTF">2014-04-21T05:59:00Z</dcterms:created>
  <cp:lastPrinted>2023-05-25T03:43:00Z</cp:lastPrinted>
  <dcterms:modified xsi:type="dcterms:W3CDTF">2026-02-09T05:40:45Z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786A4FB9A2BE4A6EBC302E0AA831A48B_13</vt:lpwstr>
  </property>
  <property fmtid="{D5CDD505-2E9C-101B-9397-08002B2CF9AE}" pid="4" name="CalculationRule">
    <vt:i4>0</vt:i4>
  </property>
</Properties>
</file>