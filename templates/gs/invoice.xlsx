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6550"/>
  </bookViews>
  <sheets>
    <sheet name="Sheet1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<sst xmlns="http://schemas.openxmlformats.org/spreadsheetml/2006/main" count="66" uniqueCount="49">
  <si>
    <t>GLOBALSINO PTE.LTD.</t>
  </si>
  <si>
    <t>INVOICE</t>
  </si>
  <si>
    <t>10 KAKI BUKIT ROAD 2, #01-37, FIRST EAST CENTRE, SINGAPORE 417868</t>
  </si>
  <si>
    <t>TO:E MAX SPORT PTE. LTD.</t>
  </si>
  <si>
    <t>固定值</t>
  </si>
  <si>
    <t>INVOICE #:</t>
  </si>
  <si>
    <t>2301-202511200002</t>
  </si>
  <si>
    <t>PO record“EMAX-RO ”</t>
  </si>
  <si>
    <t>8 KAKI BUKIT AVENUE 4, #08-32,PREMIER @ KAKI BUKIT,</t>
  </si>
  <si>
    <t xml:space="preserve">DATE: </t>
  </si>
  <si>
    <t>生成日期</t>
  </si>
  <si>
    <t xml:space="preserve"> SINGAPORE 415875</t>
  </si>
  <si>
    <t xml:space="preserve">TERM: </t>
  </si>
  <si>
    <t>T/T 75DAYS AFTER BL DATE</t>
  </si>
  <si>
    <t>Shipped per ss/mv</t>
  </si>
  <si>
    <t>From:QINGDAO,CHINA</t>
  </si>
  <si>
    <t>To:KANSAS CITY, MO,USA</t>
  </si>
  <si>
    <t>手动更新</t>
  </si>
  <si>
    <t xml:space="preserve"> PO#</t>
  </si>
  <si>
    <t xml:space="preserve">GOODS </t>
  </si>
  <si>
    <t>SAP ITEM#</t>
  </si>
  <si>
    <t>REEL</t>
  </si>
  <si>
    <t>QTY</t>
  </si>
  <si>
    <t>TOTAL</t>
  </si>
  <si>
    <t>DESCRIPT</t>
  </si>
  <si>
    <t>FOB, USD</t>
  </si>
  <si>
    <t>AMOUNT</t>
  </si>
  <si>
    <t>括号内数值手动更新</t>
  </si>
  <si>
    <t>FISHING REELS (1277PCS,$46,350.8)</t>
  </si>
  <si>
    <r>
      <rPr>
        <sz val="9"/>
        <color rgb="FF00B0F0"/>
        <rFont val="Arial"/>
        <charset val="0"/>
      </rPr>
      <t>RO new PO template A</t>
    </r>
    <r>
      <rPr>
        <sz val="9"/>
        <color indexed="40"/>
        <rFont val="宋体"/>
        <charset val="134"/>
      </rPr>
      <t>列</t>
    </r>
    <r>
      <rPr>
        <sz val="9"/>
        <color rgb="FF00B0F0"/>
        <rFont val="Arial"/>
        <charset val="0"/>
      </rPr>
      <t>"Purchasing Document"</t>
    </r>
  </si>
  <si>
    <r>
      <rPr>
        <sz val="9"/>
        <color rgb="FF00B0F0"/>
        <rFont val="Arial"/>
        <charset val="0"/>
      </rPr>
      <t>RO new PO template J</t>
    </r>
    <r>
      <rPr>
        <sz val="9"/>
        <color indexed="40"/>
        <rFont val="宋体"/>
        <charset val="134"/>
      </rPr>
      <t>列</t>
    </r>
    <r>
      <rPr>
        <sz val="9"/>
        <color rgb="FF00B0F0"/>
        <rFont val="Arial"/>
        <charset val="0"/>
      </rPr>
      <t>"Model",</t>
    </r>
    <r>
      <rPr>
        <sz val="9"/>
        <color indexed="10"/>
        <rFont val="Arial"/>
        <charset val="0"/>
      </rPr>
      <t xml:space="preserve"> ZEBCO</t>
    </r>
    <r>
      <rPr>
        <sz val="9"/>
        <color indexed="10"/>
        <rFont val="宋体"/>
        <charset val="134"/>
      </rPr>
      <t>和</t>
    </r>
    <r>
      <rPr>
        <sz val="9"/>
        <color indexed="10"/>
        <rFont val="Arial"/>
        <charset val="0"/>
      </rPr>
      <t>LEW'S</t>
    </r>
    <r>
      <rPr>
        <sz val="9"/>
        <color indexed="10"/>
        <rFont val="宋体"/>
        <charset val="134"/>
      </rPr>
      <t>是否取同一列</t>
    </r>
  </si>
  <si>
    <r>
      <rPr>
        <sz val="9"/>
        <color rgb="FF00B0F0"/>
        <rFont val="Arial"/>
        <charset val="0"/>
      </rPr>
      <t>RO new PO template I</t>
    </r>
    <r>
      <rPr>
        <sz val="9"/>
        <color indexed="40"/>
        <rFont val="宋体"/>
        <charset val="134"/>
      </rPr>
      <t>列</t>
    </r>
    <r>
      <rPr>
        <sz val="9"/>
        <color rgb="FF00B0F0"/>
        <rFont val="Arial"/>
        <charset val="0"/>
      </rPr>
      <t>"Material"</t>
    </r>
  </si>
  <si>
    <r>
      <rPr>
        <sz val="9"/>
        <color rgb="FF00B0F0"/>
        <rFont val="Arial"/>
        <charset val="0"/>
      </rPr>
      <t>data base M,N,O</t>
    </r>
    <r>
      <rPr>
        <sz val="9"/>
        <color indexed="40"/>
        <rFont val="宋体"/>
        <charset val="134"/>
      </rPr>
      <t>列</t>
    </r>
  </si>
  <si>
    <t>PO record</t>
  </si>
  <si>
    <t>CB2500.B2</t>
  </si>
  <si>
    <t>21-44640</t>
  </si>
  <si>
    <t>PCS</t>
  </si>
  <si>
    <t>CB3000.B2</t>
  </si>
  <si>
    <t>21-44641</t>
  </si>
  <si>
    <t>CB4000.B2</t>
  </si>
  <si>
    <t>21-44642</t>
  </si>
  <si>
    <t>CB6000.B2</t>
  </si>
  <si>
    <t>21-44644</t>
  </si>
  <si>
    <t>CB8000.B2</t>
  </si>
  <si>
    <t>21-44645</t>
  </si>
  <si>
    <t>ORIGIN IN CHINA</t>
  </si>
  <si>
    <t>PACKED IN 88 CTNS</t>
  </si>
  <si>
    <r>
      <t>箱数取自</t>
    </r>
    <r>
      <rPr>
        <sz val="12"/>
        <color rgb="FF00B0F0"/>
        <rFont val="Times New Roman"/>
        <charset val="0"/>
      </rPr>
      <t>PL</t>
    </r>
  </si>
  <si>
    <t>THERE IS NO SOLID WOOD PACKING MATERIAL IN THIS SHIPMENT.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</si>
</sst>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3">
    <numFmt numFmtId="25" formatCode="\$#,##0.00_);\(\$#,##0.00\)"/>
    <numFmt numFmtId="26" formatCode="\$#,##0.00_);[Red]\(\$#,##0.00\)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mmm/dd/yyyy"/>
    <numFmt numFmtId="177" formatCode="0_);[Red]\(0\)"/>
    <numFmt numFmtId="178" formatCode="[$-409]d/mmm/yy;@"/>
    <numFmt numFmtId="179" formatCode="yyyy/m/d;@"/>
    <numFmt numFmtId="180" formatCode="0.00_ "/>
    <numFmt numFmtId="181" formatCode="0_);\(0\)"/>
    <numFmt numFmtId="182" formatCode="\$#,##0.00;\-\$#,##0.00"/>
  </numFmts>
  <fonts count="64">
    <font>
      <sz val="12"/>
      <name val="宋体"/>
      <charset val="134"/>
    </font>
    <font>
      <sz val="9"/>
      <name val="Arial"/>
      <charset val="134"/>
    </font>
    <font>
      <sz val="13"/>
      <name val="Times New Roman"/>
      <charset val="134"/>
    </font>
    <font>
      <b/>
      <sz val="20"/>
      <name val="Cooper Black"/>
      <charset val="134"/>
    </font>
    <font>
      <b/>
      <sz val="20"/>
      <name val="Arial"/>
      <charset val="134"/>
    </font>
    <font>
      <b/>
      <sz val="28"/>
      <name val="Arial Black"/>
      <charset val="134"/>
    </font>
    <font>
      <sz val="8"/>
      <name val="Franklin Gothic Demi"/>
      <charset val="134"/>
    </font>
    <font>
      <sz val="12"/>
      <name val="Arial"/>
      <charset val="134"/>
    </font>
    <font>
      <b/>
      <sz val="11"/>
      <name val="Cooper Black"/>
      <charset val="134"/>
    </font>
    <font>
      <b/>
      <sz val="24"/>
      <name val="Cooper Black"/>
      <charset val="134"/>
    </font>
    <font>
      <sz val="16"/>
      <name val="Arial"/>
      <charset val="134"/>
    </font>
    <font>
      <sz val="12"/>
      <name val="Times New Roman"/>
      <charset val="0"/>
    </font>
    <font>
      <sz val="12"/>
      <color rgb="FF00B0F0"/>
      <name val="宋体"/>
      <charset val="134"/>
    </font>
    <font>
      <sz val="9"/>
      <color rgb="FF00B0F0"/>
      <name val="Arial"/>
      <charset val="0"/>
    </font>
    <font>
      <u/>
      <sz val="12"/>
      <name val="Times New Roman"/>
      <charset val="0"/>
    </font>
    <font>
      <sz val="12"/>
      <color rgb="FFFF0000"/>
      <name val="宋体"/>
      <charset val="134"/>
    </font>
    <font>
      <b/>
      <sz val="12"/>
      <name val="Times New Roman"/>
      <charset val="0"/>
    </font>
    <font>
      <sz val="12"/>
      <color rgb="FF00B0F0"/>
      <name val="宋体"/>
      <charset val="0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2"/>
      <color indexed="8"/>
      <name val="新細明體"/>
      <charset val="136"/>
    </font>
    <font>
      <b/>
      <sz val="15"/>
      <color indexed="62"/>
      <name val="新細明體"/>
      <charset val="134"/>
    </font>
    <font>
      <sz val="12"/>
      <name val="新細明體"/>
      <charset val="134"/>
    </font>
    <font>
      <sz val="12"/>
      <name val="新細明體"/>
      <charset val="136"/>
    </font>
    <font>
      <sz val="12"/>
      <color indexed="9"/>
      <name val="新細明體"/>
      <charset val="136"/>
    </font>
    <font>
      <sz val="12"/>
      <color indexed="19"/>
      <name val="新細明體"/>
      <charset val="134"/>
    </font>
    <font>
      <sz val="12"/>
      <color indexed="10"/>
      <name val="新細明體"/>
      <charset val="134"/>
    </font>
    <font>
      <b/>
      <sz val="18"/>
      <color indexed="62"/>
      <name val="新細明體"/>
      <charset val="136"/>
    </font>
    <font>
      <b/>
      <sz val="15"/>
      <color indexed="62"/>
      <name val="新細明體"/>
      <charset val="136"/>
    </font>
    <font>
      <b/>
      <sz val="13"/>
      <color indexed="62"/>
      <name val="新細明體"/>
      <charset val="136"/>
    </font>
    <font>
      <b/>
      <sz val="11"/>
      <color indexed="62"/>
      <name val="新細明體"/>
      <charset val="136"/>
    </font>
    <font>
      <sz val="10"/>
      <name val="Arial"/>
      <charset val="134"/>
    </font>
    <font>
      <sz val="11"/>
      <color indexed="8"/>
      <name val="宋体"/>
      <charset val="134"/>
    </font>
    <font>
      <b/>
      <sz val="12"/>
      <color indexed="8"/>
      <name val="新細明體"/>
      <charset val="136"/>
    </font>
    <font>
      <sz val="12"/>
      <color indexed="20"/>
      <name val="新細明體"/>
      <charset val="136"/>
    </font>
    <font>
      <b/>
      <sz val="12"/>
      <color indexed="10"/>
      <name val="新細明體"/>
      <charset val="136"/>
    </font>
    <font>
      <b/>
      <sz val="12"/>
      <color indexed="9"/>
      <name val="新細明體"/>
      <charset val="136"/>
    </font>
    <font>
      <sz val="12"/>
      <color indexed="10"/>
      <name val="新細明體"/>
      <charset val="136"/>
    </font>
    <font>
      <b/>
      <sz val="12"/>
      <color indexed="63"/>
      <name val="新細明體"/>
      <charset val="136"/>
    </font>
    <font>
      <sz val="12"/>
      <color indexed="62"/>
      <name val="新細明體"/>
      <charset val="136"/>
    </font>
    <font>
      <i/>
      <sz val="12"/>
      <color indexed="23"/>
      <name val="新細明體"/>
      <charset val="136"/>
    </font>
    <font>
      <sz val="12"/>
      <color indexed="19"/>
      <name val="新細明體"/>
      <charset val="136"/>
    </font>
    <font>
      <sz val="9"/>
      <color indexed="40"/>
      <name val="宋体"/>
      <charset val="134"/>
    </font>
    <font>
      <sz val="12"/>
      <color rgb="FF00B0F0"/>
      <name val="Times New Roman"/>
      <charset val="0"/>
    </font>
    <font>
      <sz val="9"/>
      <color indexed="10"/>
      <name val="Arial"/>
      <charset val="0"/>
    </font>
    <font>
      <sz val="9"/>
      <color indexed="10"/>
      <name val="宋体"/>
      <charset val="134"/>
    </font>
  </fonts>
  <fills count="5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</borders>
  <cellStyleXfs count="117">
    <xf numFmtId="0" fontId="0" fillId="0" borderId="0">
      <alignment vertical="center"/>
    </xf>
    <xf numFmtId="43" fontId="18" fillId="0" borderId="0" applyFont="0" applyFill="0" applyBorder="0" applyAlignment="0" applyProtection="0">
      <alignment vertical="center"/>
    </xf>
    <xf numFmtId="44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2" fontId="18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8" fillId="3" borderId="2" applyNumberFormat="0" applyFon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3" applyNumberFormat="0" applyFill="0" applyAlignment="0" applyProtection="0">
      <alignment vertical="center"/>
    </xf>
    <xf numFmtId="0" fontId="25" fillId="0" borderId="3" applyNumberFormat="0" applyFill="0" applyAlignment="0" applyProtection="0">
      <alignment vertical="center"/>
    </xf>
    <xf numFmtId="0" fontId="26" fillId="0" borderId="4" applyNumberFormat="0" applyFill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4" borderId="5" applyNumberFormat="0" applyAlignment="0" applyProtection="0">
      <alignment vertical="center"/>
    </xf>
    <xf numFmtId="0" fontId="28" fillId="5" borderId="6" applyNumberFormat="0" applyAlignment="0" applyProtection="0">
      <alignment vertical="center"/>
    </xf>
    <xf numFmtId="0" fontId="29" fillId="5" borderId="5" applyNumberFormat="0" applyAlignment="0" applyProtection="0">
      <alignment vertical="center"/>
    </xf>
    <xf numFmtId="0" fontId="30" fillId="6" borderId="7" applyNumberFormat="0" applyAlignment="0" applyProtection="0">
      <alignment vertical="center"/>
    </xf>
    <xf numFmtId="0" fontId="31" fillId="0" borderId="8" applyNumberFormat="0" applyFill="0" applyAlignment="0" applyProtection="0">
      <alignment vertical="center"/>
    </xf>
    <xf numFmtId="0" fontId="32" fillId="0" borderId="9" applyNumberFormat="0" applyFill="0" applyAlignment="0" applyProtection="0">
      <alignment vertical="center"/>
    </xf>
    <xf numFmtId="0" fontId="33" fillId="7" borderId="0" applyNumberFormat="0" applyBorder="0" applyAlignment="0" applyProtection="0">
      <alignment vertical="center"/>
    </xf>
    <xf numFmtId="0" fontId="34" fillId="8" borderId="0" applyNumberFormat="0" applyBorder="0" applyAlignment="0" applyProtection="0">
      <alignment vertical="center"/>
    </xf>
    <xf numFmtId="0" fontId="35" fillId="9" borderId="0" applyNumberFormat="0" applyBorder="0" applyAlignment="0" applyProtection="0">
      <alignment vertical="center"/>
    </xf>
    <xf numFmtId="0" fontId="36" fillId="10" borderId="0" applyNumberFormat="0" applyBorder="0" applyAlignment="0" applyProtection="0">
      <alignment vertical="center"/>
    </xf>
    <xf numFmtId="0" fontId="37" fillId="11" borderId="0" applyNumberFormat="0" applyBorder="0" applyAlignment="0" applyProtection="0">
      <alignment vertical="center"/>
    </xf>
    <xf numFmtId="0" fontId="37" fillId="12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7" fillId="15" borderId="0" applyNumberFormat="0" applyBorder="0" applyAlignment="0" applyProtection="0">
      <alignment vertical="center"/>
    </xf>
    <xf numFmtId="0" fontId="37" fillId="16" borderId="0" applyNumberFormat="0" applyBorder="0" applyAlignment="0" applyProtection="0">
      <alignment vertical="center"/>
    </xf>
    <xf numFmtId="0" fontId="36" fillId="17" borderId="0" applyNumberFormat="0" applyBorder="0" applyAlignment="0" applyProtection="0">
      <alignment vertical="center"/>
    </xf>
    <xf numFmtId="0" fontId="36" fillId="18" borderId="0" applyNumberFormat="0" applyBorder="0" applyAlignment="0" applyProtection="0">
      <alignment vertical="center"/>
    </xf>
    <xf numFmtId="0" fontId="37" fillId="19" borderId="0" applyNumberFormat="0" applyBorder="0" applyAlignment="0" applyProtection="0">
      <alignment vertical="center"/>
    </xf>
    <xf numFmtId="0" fontId="37" fillId="20" borderId="0" applyNumberFormat="0" applyBorder="0" applyAlignment="0" applyProtection="0">
      <alignment vertical="center"/>
    </xf>
    <xf numFmtId="0" fontId="36" fillId="21" borderId="0" applyNumberFormat="0" applyBorder="0" applyAlignment="0" applyProtection="0">
      <alignment vertical="center"/>
    </xf>
    <xf numFmtId="0" fontId="36" fillId="22" borderId="0" applyNumberFormat="0" applyBorder="0" applyAlignment="0" applyProtection="0">
      <alignment vertical="center"/>
    </xf>
    <xf numFmtId="0" fontId="37" fillId="23" borderId="0" applyNumberFormat="0" applyBorder="0" applyAlignment="0" applyProtection="0">
      <alignment vertical="center"/>
    </xf>
    <xf numFmtId="0" fontId="37" fillId="24" borderId="0" applyNumberFormat="0" applyBorder="0" applyAlignment="0" applyProtection="0">
      <alignment vertical="center"/>
    </xf>
    <xf numFmtId="0" fontId="36" fillId="25" borderId="0" applyNumberFormat="0" applyBorder="0" applyAlignment="0" applyProtection="0">
      <alignment vertical="center"/>
    </xf>
    <xf numFmtId="0" fontId="36" fillId="26" borderId="0" applyNumberFormat="0" applyBorder="0" applyAlignment="0" applyProtection="0">
      <alignment vertical="center"/>
    </xf>
    <xf numFmtId="0" fontId="37" fillId="27" borderId="0" applyNumberFormat="0" applyBorder="0" applyAlignment="0" applyProtection="0">
      <alignment vertical="center"/>
    </xf>
    <xf numFmtId="0" fontId="37" fillId="28" borderId="0" applyNumberFormat="0" applyBorder="0" applyAlignment="0" applyProtection="0">
      <alignment vertical="center"/>
    </xf>
    <xf numFmtId="0" fontId="36" fillId="29" borderId="0" applyNumberFormat="0" applyBorder="0" applyAlignment="0" applyProtection="0">
      <alignment vertical="center"/>
    </xf>
    <xf numFmtId="0" fontId="36" fillId="30" borderId="0" applyNumberFormat="0" applyBorder="0" applyAlignment="0" applyProtection="0">
      <alignment vertical="center"/>
    </xf>
    <xf numFmtId="0" fontId="37" fillId="31" borderId="0" applyNumberFormat="0" applyBorder="0" applyAlignment="0" applyProtection="0">
      <alignment vertical="center"/>
    </xf>
    <xf numFmtId="0" fontId="37" fillId="32" borderId="0" applyNumberFormat="0" applyBorder="0" applyAlignment="0" applyProtection="0">
      <alignment vertical="center"/>
    </xf>
    <xf numFmtId="0" fontId="36" fillId="33" borderId="0" applyNumberFormat="0" applyBorder="0" applyAlignment="0" applyProtection="0">
      <alignment vertical="center"/>
    </xf>
    <xf numFmtId="0" fontId="38" fillId="34" borderId="0" applyNumberFormat="0" applyBorder="0" applyAlignment="0" applyProtection="0">
      <alignment vertical="center"/>
    </xf>
    <xf numFmtId="0" fontId="38" fillId="35" borderId="0" applyNumberFormat="0" applyBorder="0" applyAlignment="0" applyProtection="0">
      <alignment vertical="center"/>
    </xf>
    <xf numFmtId="0" fontId="38" fillId="36" borderId="0" applyNumberFormat="0" applyBorder="0" applyAlignment="0" applyProtection="0">
      <alignment vertical="center"/>
    </xf>
    <xf numFmtId="0" fontId="38" fillId="37" borderId="0" applyNumberFormat="0" applyBorder="0" applyAlignment="0" applyProtection="0">
      <alignment vertical="center"/>
    </xf>
    <xf numFmtId="0" fontId="38" fillId="38" borderId="0" applyNumberFormat="0" applyBorder="0" applyAlignment="0" applyProtection="0">
      <alignment vertical="center"/>
    </xf>
    <xf numFmtId="0" fontId="38" fillId="36" borderId="0" applyNumberFormat="0" applyBorder="0" applyAlignment="0" applyProtection="0">
      <alignment vertical="center"/>
    </xf>
    <xf numFmtId="0" fontId="39" fillId="0" borderId="0"/>
    <xf numFmtId="0" fontId="0" fillId="0" borderId="0"/>
    <xf numFmtId="0" fontId="39" fillId="0" borderId="0"/>
    <xf numFmtId="0" fontId="39" fillId="0" borderId="0"/>
    <xf numFmtId="0" fontId="40" fillId="0" borderId="0">
      <alignment vertical="center"/>
    </xf>
    <xf numFmtId="0" fontId="41" fillId="0" borderId="0"/>
    <xf numFmtId="0" fontId="0" fillId="0" borderId="0"/>
    <xf numFmtId="0" fontId="38" fillId="38" borderId="0" applyNumberFormat="0" applyBorder="0" applyAlignment="0" applyProtection="0">
      <alignment vertical="center"/>
    </xf>
    <xf numFmtId="0" fontId="38" fillId="35" borderId="0" applyNumberFormat="0" applyBorder="0" applyAlignment="0" applyProtection="0">
      <alignment vertical="center"/>
    </xf>
    <xf numFmtId="0" fontId="38" fillId="39" borderId="0" applyNumberFormat="0" applyBorder="0" applyAlignment="0" applyProtection="0">
      <alignment vertical="center"/>
    </xf>
    <xf numFmtId="0" fontId="38" fillId="40" borderId="0" applyNumberFormat="0" applyBorder="0" applyAlignment="0" applyProtection="0">
      <alignment vertical="center"/>
    </xf>
    <xf numFmtId="0" fontId="38" fillId="38" borderId="0" applyNumberFormat="0" applyBorder="0" applyAlignment="0" applyProtection="0">
      <alignment vertical="center"/>
    </xf>
    <xf numFmtId="0" fontId="38" fillId="36" borderId="0" applyNumberFormat="0" applyBorder="0" applyAlignment="0" applyProtection="0">
      <alignment vertical="center"/>
    </xf>
    <xf numFmtId="0" fontId="42" fillId="38" borderId="0" applyNumberFormat="0" applyBorder="0" applyAlignment="0" applyProtection="0">
      <alignment vertical="center"/>
    </xf>
    <xf numFmtId="0" fontId="42" fillId="41" borderId="0" applyNumberFormat="0" applyBorder="0" applyAlignment="0" applyProtection="0">
      <alignment vertical="center"/>
    </xf>
    <xf numFmtId="0" fontId="42" fillId="42" borderId="0" applyNumberFormat="0" applyBorder="0" applyAlignment="0" applyProtection="0">
      <alignment vertical="center"/>
    </xf>
    <xf numFmtId="0" fontId="42" fillId="40" borderId="0" applyNumberFormat="0" applyBorder="0" applyAlignment="0" applyProtection="0">
      <alignment vertical="center"/>
    </xf>
    <xf numFmtId="0" fontId="42" fillId="38" borderId="0" applyNumberFormat="0" applyBorder="0" applyAlignment="0" applyProtection="0">
      <alignment vertical="center"/>
    </xf>
    <xf numFmtId="0" fontId="42" fillId="35" borderId="0" applyNumberFormat="0" applyBorder="0" applyAlignment="0" applyProtection="0">
      <alignment vertical="center"/>
    </xf>
    <xf numFmtId="0" fontId="41" fillId="0" borderId="0"/>
    <xf numFmtId="0" fontId="43" fillId="0" borderId="0"/>
    <xf numFmtId="0" fontId="44" fillId="0" borderId="0"/>
    <xf numFmtId="0" fontId="43" fillId="0" borderId="0"/>
    <xf numFmtId="0" fontId="41" fillId="36" borderId="10" applyNumberFormat="0" applyFont="0" applyAlignment="0" applyProtection="0">
      <alignment vertical="center"/>
    </xf>
    <xf numFmtId="0" fontId="45" fillId="0" borderId="0" applyNumberFormat="0" applyFill="0" applyBorder="0" applyAlignment="0" applyProtection="0">
      <alignment vertical="center"/>
    </xf>
    <xf numFmtId="0" fontId="46" fillId="0" borderId="11" applyNumberFormat="0" applyFill="0" applyAlignment="0" applyProtection="0">
      <alignment vertical="center"/>
    </xf>
    <xf numFmtId="0" fontId="47" fillId="0" borderId="12" applyNumberFormat="0" applyFill="0" applyAlignment="0" applyProtection="0">
      <alignment vertical="center"/>
    </xf>
    <xf numFmtId="0" fontId="48" fillId="0" borderId="13" applyNumberFormat="0" applyFill="0" applyAlignment="0" applyProtection="0">
      <alignment vertical="center"/>
    </xf>
    <xf numFmtId="0" fontId="48" fillId="0" borderId="0" applyNumberFormat="0" applyFill="0" applyBorder="0" applyAlignment="0" applyProtection="0">
      <alignment vertical="center"/>
    </xf>
    <xf numFmtId="0" fontId="40" fillId="0" borderId="0">
      <alignment vertical="center"/>
    </xf>
    <xf numFmtId="0" fontId="18" fillId="0" borderId="0">
      <alignment vertical="center"/>
    </xf>
    <xf numFmtId="0" fontId="49" fillId="0" borderId="0"/>
    <xf numFmtId="0" fontId="0" fillId="0" borderId="0">
      <alignment vertical="center"/>
    </xf>
    <xf numFmtId="0" fontId="18" fillId="0" borderId="0">
      <alignment vertical="center"/>
    </xf>
    <xf numFmtId="0" fontId="43" fillId="0" borderId="0"/>
    <xf numFmtId="0" fontId="18" fillId="0" borderId="0">
      <alignment vertical="center"/>
    </xf>
    <xf numFmtId="0" fontId="18" fillId="0" borderId="0">
      <alignment vertical="center"/>
    </xf>
    <xf numFmtId="0" fontId="0" fillId="0" borderId="0">
      <alignment vertical="center"/>
    </xf>
    <xf numFmtId="0" fontId="39" fillId="0" borderId="0"/>
    <xf numFmtId="0" fontId="39" fillId="0" borderId="0"/>
    <xf numFmtId="0" fontId="0" fillId="0" borderId="0">
      <alignment vertical="center"/>
    </xf>
    <xf numFmtId="0" fontId="0" fillId="0" borderId="0"/>
    <xf numFmtId="0" fontId="0" fillId="0" borderId="0"/>
    <xf numFmtId="0" fontId="50" fillId="0" borderId="0">
      <alignment vertical="center"/>
    </xf>
    <xf numFmtId="0" fontId="43" fillId="0" borderId="0"/>
    <xf numFmtId="0" fontId="42" fillId="43" borderId="0" applyNumberFormat="0" applyBorder="0" applyAlignment="0" applyProtection="0">
      <alignment vertical="center"/>
    </xf>
    <xf numFmtId="0" fontId="42" fillId="41" borderId="0" applyNumberFormat="0" applyBorder="0" applyAlignment="0" applyProtection="0">
      <alignment vertical="center"/>
    </xf>
    <xf numFmtId="0" fontId="42" fillId="42" borderId="0" applyNumberFormat="0" applyBorder="0" applyAlignment="0" applyProtection="0">
      <alignment vertical="center"/>
    </xf>
    <xf numFmtId="0" fontId="42" fillId="44" borderId="0" applyNumberFormat="0" applyBorder="0" applyAlignment="0" applyProtection="0">
      <alignment vertical="center"/>
    </xf>
    <xf numFmtId="0" fontId="42" fillId="45" borderId="0" applyNumberFormat="0" applyBorder="0" applyAlignment="0" applyProtection="0">
      <alignment vertical="center"/>
    </xf>
    <xf numFmtId="0" fontId="42" fillId="46" borderId="0" applyNumberFormat="0" applyBorder="0" applyAlignment="0" applyProtection="0">
      <alignment vertical="center"/>
    </xf>
    <xf numFmtId="0" fontId="51" fillId="0" borderId="14" applyNumberFormat="0" applyFill="0" applyAlignment="0" applyProtection="0">
      <alignment vertical="center"/>
    </xf>
    <xf numFmtId="0" fontId="52" fillId="47" borderId="0" applyNumberFormat="0" applyBorder="0" applyAlignment="0" applyProtection="0">
      <alignment vertical="center"/>
    </xf>
    <xf numFmtId="0" fontId="53" fillId="48" borderId="15" applyNumberFormat="0" applyAlignment="0" applyProtection="0">
      <alignment vertical="center"/>
    </xf>
    <xf numFmtId="0" fontId="54" fillId="49" borderId="16" applyNumberFormat="0" applyAlignment="0" applyProtection="0">
      <alignment vertical="center"/>
    </xf>
    <xf numFmtId="0" fontId="55" fillId="0" borderId="0" applyNumberFormat="0" applyFill="0" applyBorder="0" applyAlignment="0" applyProtection="0">
      <alignment vertical="center"/>
    </xf>
    <xf numFmtId="0" fontId="55" fillId="0" borderId="17" applyNumberFormat="0" applyFill="0" applyAlignment="0" applyProtection="0">
      <alignment vertical="center"/>
    </xf>
    <xf numFmtId="0" fontId="56" fillId="48" borderId="18" applyNumberFormat="0" applyAlignment="0" applyProtection="0">
      <alignment vertical="center"/>
    </xf>
    <xf numFmtId="0" fontId="57" fillId="39" borderId="15" applyNumberFormat="0" applyAlignment="0" applyProtection="0">
      <alignment vertical="center"/>
    </xf>
    <xf numFmtId="0" fontId="58" fillId="0" borderId="0" applyNumberFormat="0" applyFill="0" applyBorder="0" applyAlignment="0" applyProtection="0">
      <alignment vertical="center"/>
    </xf>
    <xf numFmtId="0" fontId="43" fillId="0" borderId="0"/>
    <xf numFmtId="0" fontId="59" fillId="39" borderId="0" applyNumberFormat="0" applyBorder="0" applyAlignment="0" applyProtection="0">
      <alignment vertical="center"/>
    </xf>
  </cellStyleXfs>
  <cellXfs count="59">
    <xf numFmtId="0" fontId="0" fillId="0" borderId="0" xfId="0">
      <alignment vertical="center"/>
    </xf>
    <xf numFmtId="0" fontId="1" fillId="2" borderId="0" xfId="0" applyFont="1" applyFill="1">
      <alignment vertical="center"/>
    </xf>
    <xf numFmtId="0" fontId="1" fillId="2" borderId="0" xfId="0" applyFont="1" applyFill="1" applyAlignment="1">
      <alignment horizontal="left" vertical="center"/>
    </xf>
    <xf numFmtId="0" fontId="1" fillId="2" borderId="0" xfId="87" applyFont="1" applyFill="1" applyAlignment="1">
      <alignment horizontal="left" vertical="center"/>
    </xf>
    <xf numFmtId="0" fontId="2" fillId="2" borderId="0" xfId="87" applyFont="1" applyFill="1">
      <alignment vertical="center"/>
    </xf>
    <xf numFmtId="0" fontId="1" fillId="2" borderId="0" xfId="87" applyFont="1" applyFill="1">
      <alignment vertical="center"/>
    </xf>
    <xf numFmtId="0" fontId="3" fillId="2" borderId="0" xfId="0" applyFont="1" applyFill="1" applyAlignment="1">
      <alignment horizontal="left" vertical="center" wrapText="1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left" vertical="top"/>
    </xf>
    <xf numFmtId="0" fontId="7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0" xfId="0" applyFont="1" applyFill="1">
      <alignment vertical="center"/>
    </xf>
    <xf numFmtId="0" fontId="9" fillId="2" borderId="0" xfId="0" applyFont="1" applyFill="1" applyAlignment="1">
      <alignment vertical="center" wrapText="1"/>
    </xf>
    <xf numFmtId="0" fontId="10" fillId="2" borderId="0" xfId="0" applyFont="1" applyFill="1" applyAlignment="1">
      <alignment horizontal="center" vertical="center"/>
    </xf>
    <xf numFmtId="0" fontId="1" fillId="2" borderId="0" xfId="55" applyFont="1" applyFill="1" applyAlignment="1" applyProtection="1">
      <alignment horizontal="left" vertical="center"/>
      <protection locked="0"/>
    </xf>
    <xf numFmtId="176" fontId="1" fillId="2" borderId="0" xfId="55" applyNumberFormat="1" applyFont="1" applyFill="1" applyBorder="1" applyAlignment="1" applyProtection="1">
      <alignment horizontal="left" vertical="center"/>
      <protection locked="0"/>
    </xf>
    <xf numFmtId="0" fontId="1" fillId="2" borderId="0" xfId="55" applyFont="1" applyFill="1" applyAlignment="1" applyProtection="1">
      <alignment vertical="center"/>
      <protection locked="0"/>
    </xf>
    <xf numFmtId="0" fontId="1" fillId="2" borderId="0" xfId="0" applyFont="1" applyFill="1" applyAlignment="1">
      <alignment horizontal="right" vertical="center"/>
    </xf>
    <xf numFmtId="49" fontId="1" fillId="2" borderId="0" xfId="55" applyNumberFormat="1" applyFont="1" applyFill="1" applyAlignment="1" applyProtection="1">
      <alignment vertical="center" wrapText="1"/>
      <protection locked="0"/>
    </xf>
    <xf numFmtId="0" fontId="11" fillId="2" borderId="0" xfId="0" applyFont="1" applyFill="1" applyBorder="1" applyAlignment="1"/>
    <xf numFmtId="0" fontId="12" fillId="2" borderId="0" xfId="0" applyFont="1" applyFill="1" applyBorder="1" applyAlignment="1">
      <alignment horizontal="center"/>
    </xf>
    <xf numFmtId="26" fontId="11" fillId="2" borderId="0" xfId="0" applyNumberFormat="1" applyFont="1" applyFill="1" applyBorder="1" applyAlignment="1">
      <alignment horizontal="left"/>
    </xf>
    <xf numFmtId="177" fontId="11" fillId="2" borderId="0" xfId="0" applyNumberFormat="1" applyFont="1" applyFill="1" applyBorder="1" applyAlignment="1">
      <alignment horizontal="right"/>
    </xf>
    <xf numFmtId="26" fontId="11" fillId="2" borderId="0" xfId="0" applyNumberFormat="1" applyFont="1" applyFill="1" applyBorder="1" applyAlignment="1">
      <alignment horizontal="left" shrinkToFit="1"/>
    </xf>
    <xf numFmtId="178" fontId="13" fillId="2" borderId="0" xfId="0" applyNumberFormat="1" applyFont="1" applyFill="1" applyBorder="1" applyAlignment="1">
      <alignment horizontal="left" vertical="center" wrapText="1"/>
    </xf>
    <xf numFmtId="0" fontId="11" fillId="0" borderId="0" xfId="0" applyFont="1" applyFill="1" applyBorder="1" applyAlignment="1"/>
    <xf numFmtId="179" fontId="11" fillId="2" borderId="0" xfId="0" applyNumberFormat="1" applyFont="1" applyFill="1" applyBorder="1" applyAlignment="1">
      <alignment horizontal="left"/>
    </xf>
    <xf numFmtId="0" fontId="11" fillId="2" borderId="0" xfId="0" applyFont="1" applyFill="1" applyBorder="1" applyAlignment="1">
      <alignment shrinkToFit="1"/>
    </xf>
    <xf numFmtId="0" fontId="12" fillId="0" borderId="0" xfId="0" applyFont="1" applyFill="1" applyBorder="1" applyAlignment="1"/>
    <xf numFmtId="0" fontId="11" fillId="2" borderId="0" xfId="0" applyFont="1" applyFill="1" applyBorder="1" applyAlignment="1">
      <alignment horizontal="left"/>
    </xf>
    <xf numFmtId="0" fontId="11" fillId="2" borderId="0" xfId="0" applyFont="1" applyFill="1" applyBorder="1" applyAlignment="1">
      <alignment horizontal="center"/>
    </xf>
    <xf numFmtId="26" fontId="11" fillId="2" borderId="0" xfId="0" applyNumberFormat="1" applyFont="1" applyFill="1" applyBorder="1" applyAlignment="1">
      <alignment horizontal="right" shrinkToFit="1"/>
    </xf>
    <xf numFmtId="26" fontId="11" fillId="2" borderId="0" xfId="0" applyNumberFormat="1" applyFont="1" applyFill="1" applyBorder="1" applyAlignment="1">
      <alignment horizontal="center" shrinkToFit="1"/>
    </xf>
    <xf numFmtId="0" fontId="14" fillId="2" borderId="0" xfId="0" applyFont="1" applyFill="1" applyBorder="1" applyAlignment="1">
      <alignment horizontal="left"/>
    </xf>
    <xf numFmtId="180" fontId="11" fillId="0" borderId="0" xfId="0" applyNumberFormat="1" applyFont="1" applyFill="1" applyBorder="1" applyAlignment="1"/>
    <xf numFmtId="0" fontId="15" fillId="2" borderId="0" xfId="0" applyFont="1" applyFill="1" applyBorder="1" applyAlignment="1">
      <alignment horizontal="center"/>
    </xf>
    <xf numFmtId="180" fontId="11" fillId="2" borderId="0" xfId="0" applyNumberFormat="1" applyFont="1" applyFill="1" applyBorder="1" applyAlignment="1"/>
    <xf numFmtId="26" fontId="11" fillId="2" borderId="0" xfId="0" applyNumberFormat="1" applyFont="1" applyFill="1" applyBorder="1" applyAlignment="1">
      <alignment horizontal="center"/>
    </xf>
    <xf numFmtId="26" fontId="11" fillId="2" borderId="0" xfId="0" applyNumberFormat="1" applyFont="1" applyFill="1" applyBorder="1" applyAlignment="1">
      <alignment horizontal="right"/>
    </xf>
    <xf numFmtId="0" fontId="11" fillId="2" borderId="1" xfId="0" applyFont="1" applyFill="1" applyBorder="1" applyAlignment="1">
      <alignment horizontal="center"/>
    </xf>
    <xf numFmtId="26" fontId="11" fillId="2" borderId="1" xfId="0" applyNumberFormat="1" applyFont="1" applyFill="1" applyBorder="1" applyAlignment="1">
      <alignment horizontal="center"/>
    </xf>
    <xf numFmtId="177" fontId="11" fillId="2" borderId="1" xfId="0" applyNumberFormat="1" applyFont="1" applyFill="1" applyBorder="1" applyAlignment="1">
      <alignment horizontal="right"/>
    </xf>
    <xf numFmtId="0" fontId="11" fillId="2" borderId="1" xfId="0" applyFont="1" applyFill="1" applyBorder="1" applyAlignment="1"/>
    <xf numFmtId="26" fontId="11" fillId="2" borderId="1" xfId="0" applyNumberFormat="1" applyFont="1" applyFill="1" applyBorder="1" applyAlignment="1">
      <alignment horizontal="right"/>
    </xf>
    <xf numFmtId="0" fontId="12" fillId="2" borderId="0" xfId="0" applyFont="1" applyFill="1" applyBorder="1" applyAlignment="1">
      <alignment horizontal="left" vertical="center"/>
    </xf>
    <xf numFmtId="0" fontId="11" fillId="2" borderId="0" xfId="0" applyFont="1" applyFill="1" applyBorder="1" applyAlignment="1">
      <alignment horizontal="center" vertical="center"/>
    </xf>
    <xf numFmtId="0" fontId="16" fillId="2" borderId="0" xfId="0" applyFont="1" applyFill="1" applyBorder="1" applyAlignment="1"/>
    <xf numFmtId="26" fontId="11" fillId="2" borderId="0" xfId="0" applyNumberFormat="1" applyFont="1" applyFill="1" applyBorder="1" applyAlignment="1">
      <alignment horizontal="center" vertical="center"/>
    </xf>
    <xf numFmtId="181" fontId="11" fillId="2" borderId="0" xfId="0" applyNumberFormat="1" applyFont="1" applyFill="1" applyBorder="1" applyAlignment="1">
      <alignment horizontal="center" vertical="center"/>
    </xf>
    <xf numFmtId="25" fontId="11" fillId="2" borderId="0" xfId="0" applyNumberFormat="1" applyFont="1" applyFill="1" applyBorder="1" applyAlignment="1">
      <alignment horizontal="center" vertical="center"/>
    </xf>
    <xf numFmtId="0" fontId="11" fillId="2" borderId="0" xfId="0" applyFont="1" applyFill="1" applyBorder="1" applyAlignment="1">
      <alignment horizontal="left" vertical="center"/>
    </xf>
    <xf numFmtId="177" fontId="11" fillId="2" borderId="0" xfId="0" applyNumberFormat="1" applyFont="1" applyFill="1" applyBorder="1" applyAlignment="1">
      <alignment horizontal="center" vertical="center"/>
    </xf>
    <xf numFmtId="26" fontId="11" fillId="2" borderId="1" xfId="0" applyNumberFormat="1" applyFont="1" applyFill="1" applyBorder="1" applyAlignment="1">
      <alignment horizontal="left"/>
    </xf>
    <xf numFmtId="177" fontId="11" fillId="2" borderId="0" xfId="0" applyNumberFormat="1" applyFont="1" applyFill="1" applyBorder="1" applyAlignment="1">
      <alignment horizontal="center"/>
    </xf>
    <xf numFmtId="182" fontId="11" fillId="2" borderId="0" xfId="0" applyNumberFormat="1" applyFont="1" applyFill="1" applyBorder="1" applyAlignment="1">
      <alignment horizontal="center" shrinkToFit="1"/>
    </xf>
    <xf numFmtId="182" fontId="11" fillId="2" borderId="0" xfId="0" applyNumberFormat="1" applyFont="1" applyFill="1" applyBorder="1" applyAlignment="1">
      <alignment shrinkToFit="1"/>
    </xf>
    <xf numFmtId="1" fontId="11" fillId="2" borderId="0" xfId="0" applyNumberFormat="1" applyFont="1" applyFill="1" applyBorder="1" applyAlignment="1">
      <alignment horizontal="left"/>
    </xf>
    <xf numFmtId="26" fontId="17" fillId="2" borderId="0" xfId="0" applyNumberFormat="1" applyFont="1" applyFill="1" applyBorder="1" applyAlignment="1">
      <alignment horizontal="left"/>
    </xf>
  </cellXfs>
  <cellStyles count="117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20% - 輔色1" xfId="49"/>
    <cellStyle name="20% - 輔色2" xfId="50"/>
    <cellStyle name="20% - 輔色3" xfId="51"/>
    <cellStyle name="20% - 輔色4" xfId="52"/>
    <cellStyle name="20% - 輔色5" xfId="53"/>
    <cellStyle name="20% - 輔色6" xfId="54"/>
    <cellStyle name="25*62*210" xfId="55"/>
    <cellStyle name="25*62*210 10" xfId="56"/>
    <cellStyle name="25*62*210 10 2" xfId="57"/>
    <cellStyle name="25*62*210 10 2 2" xfId="58"/>
    <cellStyle name="25*62*210 2" xfId="59"/>
    <cellStyle name="25*62*210 3" xfId="60"/>
    <cellStyle name="25*62*210_TF111579~-PL-Global Tackle" xfId="61"/>
    <cellStyle name="40% - 輔色1" xfId="62"/>
    <cellStyle name="40% - 輔色2" xfId="63"/>
    <cellStyle name="40% - 輔色3" xfId="64"/>
    <cellStyle name="40% - 輔色4" xfId="65"/>
    <cellStyle name="40% - 輔色5" xfId="66"/>
    <cellStyle name="40% - 輔色6" xfId="67"/>
    <cellStyle name="60% - 輔色1" xfId="68"/>
    <cellStyle name="60% - 輔色2" xfId="69"/>
    <cellStyle name="60% - 輔色3" xfId="70"/>
    <cellStyle name="60% - 輔色4" xfId="71"/>
    <cellStyle name="60% - 輔色5" xfId="72"/>
    <cellStyle name="60% - 輔色6" xfId="73"/>
    <cellStyle name="Normal 2" xfId="74"/>
    <cellStyle name="Normal_Sheet1 2" xfId="75"/>
    <cellStyle name="Normal_Sheet1_1 2" xfId="76"/>
    <cellStyle name="Normal_Sheet2 2" xfId="77"/>
    <cellStyle name="備註" xfId="78"/>
    <cellStyle name="標題" xfId="79"/>
    <cellStyle name="標題 1" xfId="80"/>
    <cellStyle name="標題 2" xfId="81"/>
    <cellStyle name="標題 3" xfId="82"/>
    <cellStyle name="標題 4" xfId="83"/>
    <cellStyle name="常规 10" xfId="84"/>
    <cellStyle name="常规 13" xfId="85"/>
    <cellStyle name="常规 14 2" xfId="86"/>
    <cellStyle name="常规 2" xfId="87"/>
    <cellStyle name="常规 2 2" xfId="88"/>
    <cellStyle name="常规 2 3" xfId="89"/>
    <cellStyle name="常规 2 4" xfId="90"/>
    <cellStyle name="常规 2 5" xfId="91"/>
    <cellStyle name="常规 3" xfId="92"/>
    <cellStyle name="常规 4" xfId="93"/>
    <cellStyle name="常规 5" xfId="94"/>
    <cellStyle name="常规 6" xfId="95"/>
    <cellStyle name="常规 7" xfId="96"/>
    <cellStyle name="常规 8" xfId="97"/>
    <cellStyle name="常规 9" xfId="98"/>
    <cellStyle name="常规_Sheet1 2" xfId="99"/>
    <cellStyle name="輔色1" xfId="100"/>
    <cellStyle name="輔色2" xfId="101"/>
    <cellStyle name="輔色3" xfId="102"/>
    <cellStyle name="輔色4" xfId="103"/>
    <cellStyle name="輔色5" xfId="104"/>
    <cellStyle name="輔色6" xfId="105"/>
    <cellStyle name="合計" xfId="106"/>
    <cellStyle name="壞" xfId="107"/>
    <cellStyle name="計算方式" xfId="108"/>
    <cellStyle name="檢查儲存格" xfId="109"/>
    <cellStyle name="警告文字" xfId="110"/>
    <cellStyle name="連結的儲存格" xfId="111"/>
    <cellStyle name="輸出" xfId="112"/>
    <cellStyle name="輸入" xfId="113"/>
    <cellStyle name="說明文字" xfId="114"/>
    <cellStyle name="样式 1 2" xfId="115"/>
    <cellStyle name="中等" xfId="116"/>
  </cellStyles>
  <tableStyles count="0" defaultTableStyle="TableStyleMedium9" defaultPivotStyle="PivotStyleLight16"/>
  <colors>
    <mruColors>
      <color rgb="00FFFF99"/>
      <color rgb="00000000"/>
      <color rgb="00FF0000"/>
      <color rgb="001D41D5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5</xdr:col>
      <xdr:colOff>120015</xdr:colOff>
      <xdr:row>0</xdr:row>
      <xdr:rowOff>71755</xdr:rowOff>
    </xdr:from>
    <xdr:to>
      <xdr:col>8</xdr:col>
      <xdr:colOff>986155</xdr:colOff>
      <xdr:row>3</xdr:row>
      <xdr:rowOff>95885</xdr:rowOff>
    </xdr:to>
    <xdr:sp>
      <xdr:nvSpPr>
        <xdr:cNvPr id="2" name="圆角矩形 1"/>
        <xdr:cNvSpPr/>
      </xdr:nvSpPr>
      <xdr:spPr>
        <a:xfrm>
          <a:off x="7378065" y="71755"/>
          <a:ext cx="3866515" cy="927100"/>
        </a:xfrm>
        <a:prstGeom prst="roundRect">
          <a:avLst/>
        </a:prstGeom>
      </xdr:spPr>
      <xdr:style>
        <a:lnRef idx="3">
          <a:schemeClr val="accent1"/>
        </a:lnRef>
        <a:fillRef idx="0">
          <a:srgbClr val="FFFFFF"/>
        </a:fillRef>
        <a:effectRef idx="0">
          <a:srgbClr val="FFFFFF"/>
        </a:effectRef>
        <a:fontRef idx="minor">
          <a:schemeClr val="tx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zh-CN" alt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tel:918-831-6815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J32"/>
  <sheetViews>
    <sheetView tabSelected="1" zoomScale="70" zoomScaleNormal="70" workbookViewId="0">
      <selection activeCell="E12" sqref="E12"/>
    </sheetView>
  </sheetViews>
  <sheetFormatPr defaultColWidth="9" defaultRowHeight="11.5"/>
  <cols>
    <col min="1" max="1" width="17.75" style="5" customWidth="1"/>
    <col min="2" max="2" width="13.375" style="5" customWidth="1"/>
    <col min="3" max="3" width="10.875" style="5" customWidth="1"/>
    <col min="4" max="4" width="13.25" style="5" customWidth="1"/>
    <col min="5" max="5" width="40" style="5" customWidth="1"/>
    <col min="6" max="6" width="13.125" style="5" customWidth="1"/>
    <col min="7" max="7" width="12.5" style="5" customWidth="1"/>
    <col min="8" max="8" width="13.75" style="5" customWidth="1"/>
    <col min="9" max="9" width="13.5" style="5" customWidth="1"/>
    <col min="10" max="16384" width="9" style="5"/>
  </cols>
  <sheetData>
    <row r="1" s="1" customFormat="1" ht="41.1" customHeight="1" spans="1:10">
      <c r="A1" s="6" t="s">
        <v>0</v>
      </c>
      <c r="B1" s="6"/>
      <c r="C1" s="6"/>
      <c r="D1" s="6"/>
      <c r="E1" s="7"/>
      <c r="F1" s="8" t="s">
        <v>1</v>
      </c>
      <c r="G1" s="8"/>
      <c r="H1" s="8"/>
      <c r="I1" s="8"/>
    </row>
    <row r="2" s="1" customFormat="1" ht="15" customHeight="1" spans="1:10">
      <c r="A2" s="9" t="s">
        <v>2</v>
      </c>
      <c r="B2" s="9"/>
      <c r="C2" s="9"/>
      <c r="D2" s="9"/>
      <c r="E2" s="10"/>
      <c r="F2" s="8"/>
      <c r="G2" s="8"/>
      <c r="H2" s="8"/>
      <c r="I2" s="8"/>
    </row>
    <row r="3" s="1" customFormat="1" ht="15" customHeight="1" spans="1:10">
      <c r="A3" s="9"/>
      <c r="B3" s="9"/>
      <c r="C3" s="9"/>
      <c r="D3" s="9"/>
      <c r="E3" s="11"/>
      <c r="F3" s="8"/>
      <c r="G3" s="8"/>
      <c r="H3" s="8"/>
      <c r="I3" s="8"/>
    </row>
    <row r="4" s="1" customFormat="1" ht="15" customHeight="1" spans="1:10">
      <c r="A4" s="12"/>
      <c r="B4" s="13"/>
      <c r="C4" s="13"/>
      <c r="D4" s="13"/>
      <c r="E4" s="14"/>
      <c r="F4" s="8"/>
      <c r="G4" s="8"/>
      <c r="H4" s="8"/>
      <c r="I4" s="8"/>
    </row>
    <row r="5" s="1" customFormat="1" ht="15.95" customHeight="1" spans="1:10">
      <c r="A5" s="15"/>
      <c r="B5" s="16"/>
      <c r="E5" s="17"/>
      <c r="F5" s="18"/>
      <c r="G5" s="19"/>
      <c r="H5" s="19"/>
    </row>
    <row r="6" s="2" customFormat="1" ht="27" customHeight="1" spans="1:10">
      <c r="A6" s="20" t="s">
        <v>3</v>
      </c>
      <c r="B6" s="20"/>
      <c r="C6" s="20"/>
      <c r="D6" s="21" t="s">
        <v>4</v>
      </c>
      <c r="E6" s="22"/>
      <c r="F6" s="23"/>
      <c r="G6" s="24" t="s">
        <v>5</v>
      </c>
      <c r="H6" s="22" t="s">
        <v>6</v>
      </c>
      <c r="I6" s="25" t="s">
        <v>7</v>
      </c>
      <c r="J6" s="26"/>
    </row>
    <row r="7" s="2" customFormat="1" ht="18" customHeight="1" spans="1:10">
      <c r="A7" s="20" t="s">
        <v>8</v>
      </c>
      <c r="B7" s="20"/>
      <c r="C7" s="20"/>
      <c r="E7" s="21" t="s">
        <v>4</v>
      </c>
      <c r="F7" s="23"/>
      <c r="G7" s="24" t="s">
        <v>9</v>
      </c>
      <c r="H7" s="27">
        <v>46038</v>
      </c>
      <c r="I7" s="21" t="s">
        <v>10</v>
      </c>
      <c r="J7" s="26"/>
    </row>
    <row r="8" s="2" customFormat="1" ht="18" customHeight="1" spans="1:10">
      <c r="A8" s="20" t="s">
        <v>11</v>
      </c>
      <c r="B8" s="20"/>
      <c r="C8" s="20"/>
      <c r="D8" s="21" t="s">
        <v>4</v>
      </c>
      <c r="E8" s="22"/>
      <c r="F8" s="23"/>
      <c r="G8" s="24" t="s">
        <v>12</v>
      </c>
      <c r="H8" s="22" t="s">
        <v>13</v>
      </c>
      <c r="I8" s="28"/>
      <c r="J8" s="29" t="s">
        <v>4</v>
      </c>
    </row>
    <row r="9" s="2" customFormat="1" ht="18" customHeight="1" spans="1:10">
      <c r="A9" s="30"/>
      <c r="B9" s="30"/>
      <c r="C9" s="20"/>
      <c r="D9" s="31"/>
      <c r="E9" s="22"/>
      <c r="F9" s="32"/>
      <c r="G9" s="32"/>
      <c r="H9" s="33"/>
      <c r="I9" s="28"/>
      <c r="J9" s="26"/>
    </row>
    <row r="10" s="2" customFormat="1" ht="18" customHeight="1" spans="1:10">
      <c r="A10" s="34" t="s">
        <v>14</v>
      </c>
      <c r="B10" s="34"/>
      <c r="C10" s="20"/>
      <c r="D10" s="31"/>
      <c r="E10" s="22"/>
      <c r="F10" s="32"/>
      <c r="G10" s="32"/>
      <c r="H10" s="33"/>
      <c r="I10" s="28"/>
      <c r="J10" s="26"/>
    </row>
    <row r="11" s="2" customFormat="1" ht="18" customHeight="1" spans="1:10">
      <c r="A11" s="34" t="s">
        <v>15</v>
      </c>
      <c r="B11" s="34"/>
      <c r="C11" s="20"/>
      <c r="D11" s="21" t="s">
        <v>4</v>
      </c>
      <c r="E11" s="22"/>
      <c r="F11" s="23"/>
      <c r="G11" s="20"/>
      <c r="H11" s="32"/>
      <c r="I11" s="32"/>
      <c r="J11" s="35"/>
    </row>
    <row r="12" s="2" customFormat="1" ht="18" customHeight="1" spans="1:10">
      <c r="A12" s="34" t="s">
        <v>16</v>
      </c>
      <c r="B12" s="34"/>
      <c r="C12" s="34"/>
      <c r="D12" s="36" t="s">
        <v>17</v>
      </c>
      <c r="E12" s="22"/>
      <c r="F12" s="23"/>
      <c r="G12" s="20"/>
      <c r="H12" s="28"/>
      <c r="I12" s="37"/>
      <c r="J12" s="26"/>
    </row>
    <row r="13" s="3" customFormat="1" ht="18" customHeight="1" spans="1:10">
      <c r="A13" s="20"/>
      <c r="B13" s="31" t="s">
        <v>18</v>
      </c>
      <c r="C13" s="31" t="s">
        <v>19</v>
      </c>
      <c r="D13" s="31" t="s">
        <v>20</v>
      </c>
      <c r="E13" s="38" t="s">
        <v>21</v>
      </c>
      <c r="F13" s="23" t="s">
        <v>22</v>
      </c>
      <c r="G13" s="20"/>
      <c r="H13" s="39" t="s">
        <v>23</v>
      </c>
      <c r="I13" s="37"/>
      <c r="J13" s="26"/>
    </row>
    <row r="14" s="3" customFormat="1" ht="18" customHeight="1" spans="1:10">
      <c r="A14" s="40"/>
      <c r="B14" s="40"/>
      <c r="C14" s="40" t="s">
        <v>24</v>
      </c>
      <c r="D14" s="40"/>
      <c r="E14" s="41" t="s">
        <v>25</v>
      </c>
      <c r="F14" s="42"/>
      <c r="G14" s="43"/>
      <c r="H14" s="44" t="s">
        <v>26</v>
      </c>
      <c r="I14" s="37"/>
      <c r="J14" s="26"/>
    </row>
    <row r="15" s="3" customFormat="1" ht="21.95" customHeight="1" spans="1:10">
      <c r="A15" s="20"/>
      <c r="B15" s="25"/>
      <c r="C15" s="45" t="s">
        <v>27</v>
      </c>
      <c r="D15" s="31"/>
      <c r="E15" s="22"/>
      <c r="F15" s="23"/>
      <c r="G15" s="20"/>
      <c r="H15" s="28"/>
      <c r="I15" s="37"/>
      <c r="J15" s="26"/>
    </row>
    <row r="16" s="3" customFormat="1" ht="21.95" customHeight="1" spans="1:10">
      <c r="A16" s="20"/>
      <c r="B16" s="46"/>
      <c r="C16" s="47" t="s">
        <v>28</v>
      </c>
      <c r="D16" s="31"/>
      <c r="E16" s="48"/>
      <c r="F16" s="49"/>
      <c r="G16" s="49"/>
      <c r="H16" s="50"/>
      <c r="I16" s="37"/>
      <c r="J16" s="26"/>
    </row>
    <row r="17" s="3" customFormat="1" ht="21.95" customHeight="1" spans="1:10">
      <c r="A17" s="20"/>
      <c r="B17" s="25" t="s">
        <v>29</v>
      </c>
      <c r="C17" s="25" t="s">
        <v>30</v>
      </c>
      <c r="D17" s="25" t="s">
        <v>31</v>
      </c>
      <c r="E17" s="25" t="s">
        <v>32</v>
      </c>
      <c r="F17" s="25" t="s">
        <v>33</v>
      </c>
      <c r="G17" s="25" t="s">
        <v>4</v>
      </c>
      <c r="H17" s="50"/>
      <c r="I17" s="37"/>
      <c r="J17" s="26"/>
    </row>
    <row r="18" ht="15.95" customHeight="1" spans="1:10">
      <c r="A18" s="20"/>
      <c r="B18" s="46">
        <v>4500028983</v>
      </c>
      <c r="C18" s="51" t="s">
        <v>34</v>
      </c>
      <c r="D18" s="51" t="s">
        <v>35</v>
      </c>
      <c r="E18" s="48">
        <v>32.8</v>
      </c>
      <c r="F18" s="49">
        <v>96</v>
      </c>
      <c r="G18" s="52" t="s">
        <v>36</v>
      </c>
      <c r="H18" s="50">
        <f t="shared" ref="H18:H24" si="0">E18*F18</f>
        <v>3148.8</v>
      </c>
      <c r="I18" s="37"/>
      <c r="J18" s="26"/>
    </row>
    <row r="19" ht="24" customHeight="1" spans="1:10">
      <c r="A19" s="20"/>
      <c r="B19" s="46">
        <v>4500028983</v>
      </c>
      <c r="C19" s="51" t="s">
        <v>37</v>
      </c>
      <c r="D19" s="51" t="s">
        <v>38</v>
      </c>
      <c r="E19" s="48">
        <v>33.1</v>
      </c>
      <c r="F19" s="49">
        <v>262</v>
      </c>
      <c r="G19" s="52" t="s">
        <v>36</v>
      </c>
      <c r="H19" s="50">
        <f t="shared" si="0"/>
        <v>8672.2</v>
      </c>
      <c r="I19" s="37"/>
      <c r="J19" s="26"/>
    </row>
    <row r="20" ht="15.95" customHeight="1" spans="1:10">
      <c r="A20" s="20"/>
      <c r="B20" s="46">
        <v>4500028983</v>
      </c>
      <c r="C20" s="51" t="s">
        <v>39</v>
      </c>
      <c r="D20" s="51" t="s">
        <v>40</v>
      </c>
      <c r="E20" s="48">
        <v>34.4</v>
      </c>
      <c r="F20" s="49">
        <v>292</v>
      </c>
      <c r="G20" s="52" t="s">
        <v>36</v>
      </c>
      <c r="H20" s="50">
        <f t="shared" si="0"/>
        <v>10044.8</v>
      </c>
      <c r="I20" s="37"/>
      <c r="J20" s="26"/>
    </row>
    <row r="21" ht="15.95" customHeight="1" spans="1:10">
      <c r="A21" s="20"/>
      <c r="B21" s="46">
        <v>4500028983</v>
      </c>
      <c r="C21" s="51" t="s">
        <v>41</v>
      </c>
      <c r="D21" s="51" t="s">
        <v>42</v>
      </c>
      <c r="E21" s="48">
        <v>37.9</v>
      </c>
      <c r="F21" s="49">
        <v>132</v>
      </c>
      <c r="G21" s="52" t="s">
        <v>36</v>
      </c>
      <c r="H21" s="50">
        <f t="shared" si="0"/>
        <v>5002.8</v>
      </c>
      <c r="I21" s="37"/>
      <c r="J21" s="26"/>
    </row>
    <row r="22" ht="15.95" customHeight="1" spans="1:10">
      <c r="A22" s="20"/>
      <c r="B22" s="46">
        <v>4500028983</v>
      </c>
      <c r="C22" s="51" t="s">
        <v>43</v>
      </c>
      <c r="D22" s="51" t="s">
        <v>44</v>
      </c>
      <c r="E22" s="48">
        <v>40.4</v>
      </c>
      <c r="F22" s="49">
        <f>252+173</f>
        <v>425</v>
      </c>
      <c r="G22" s="52" t="s">
        <v>36</v>
      </c>
      <c r="H22" s="50">
        <f t="shared" si="0"/>
        <v>17170</v>
      </c>
      <c r="I22" s="37"/>
      <c r="J22" s="26"/>
    </row>
    <row r="23" ht="15.95" customHeight="1" spans="1:10">
      <c r="A23" s="20"/>
      <c r="B23" s="46">
        <v>4500030322</v>
      </c>
      <c r="C23" s="51" t="s">
        <v>34</v>
      </c>
      <c r="D23" s="51" t="s">
        <v>35</v>
      </c>
      <c r="E23" s="48">
        <v>32.8</v>
      </c>
      <c r="F23" s="49">
        <v>16</v>
      </c>
      <c r="G23" s="52" t="s">
        <v>36</v>
      </c>
      <c r="H23" s="50">
        <f t="shared" si="0"/>
        <v>524.8</v>
      </c>
      <c r="I23" s="37"/>
      <c r="J23" s="26"/>
    </row>
    <row r="24" ht="15.95" customHeight="1" spans="1:10">
      <c r="A24" s="20"/>
      <c r="B24" s="46">
        <v>4500030322</v>
      </c>
      <c r="C24" s="51" t="s">
        <v>37</v>
      </c>
      <c r="D24" s="51" t="s">
        <v>38</v>
      </c>
      <c r="E24" s="48">
        <v>33.1</v>
      </c>
      <c r="F24" s="49">
        <v>54</v>
      </c>
      <c r="G24" s="52" t="s">
        <v>36</v>
      </c>
      <c r="H24" s="50">
        <f t="shared" si="0"/>
        <v>1787.4</v>
      </c>
      <c r="I24" s="37"/>
      <c r="J24" s="26"/>
    </row>
    <row r="25" ht="15.5" spans="1:10">
      <c r="A25" s="20"/>
      <c r="B25" s="46"/>
      <c r="C25" s="51"/>
      <c r="D25" s="51"/>
      <c r="E25" s="48"/>
      <c r="F25" s="49"/>
      <c r="G25" s="52"/>
      <c r="H25" s="50"/>
      <c r="I25" s="37"/>
      <c r="J25" s="26"/>
    </row>
    <row r="26" ht="15.5" spans="1:10">
      <c r="A26" s="43"/>
      <c r="B26" s="43"/>
      <c r="C26" s="43"/>
      <c r="D26" s="40"/>
      <c r="E26" s="53"/>
      <c r="F26" s="42"/>
      <c r="G26" s="43"/>
      <c r="H26" s="44"/>
      <c r="I26" s="37"/>
      <c r="J26" s="26"/>
    </row>
    <row r="27" ht="15.5" spans="1:10">
      <c r="A27" s="30" t="s">
        <v>23</v>
      </c>
      <c r="B27" s="30"/>
      <c r="C27" s="20"/>
      <c r="D27" s="31"/>
      <c r="E27" s="22"/>
      <c r="F27" s="54">
        <f>SUM(F16:F26)</f>
        <v>1277</v>
      </c>
      <c r="G27" s="20" t="s">
        <v>36</v>
      </c>
      <c r="H27" s="55">
        <f>SUM(H16:H26)</f>
        <v>46350.8</v>
      </c>
      <c r="I27" s="37"/>
      <c r="J27" s="26"/>
    </row>
    <row r="28" s="4" customFormat="1" ht="21" customHeight="1" spans="1:10">
      <c r="A28" s="30"/>
      <c r="B28" s="30"/>
      <c r="C28" s="30"/>
      <c r="D28" s="38"/>
      <c r="E28" s="22"/>
      <c r="F28" s="23"/>
      <c r="G28" s="20"/>
      <c r="H28" s="56"/>
      <c r="I28" s="37"/>
      <c r="J28" s="26"/>
    </row>
    <row r="29" s="4" customFormat="1" ht="16.5" spans="1:10">
      <c r="A29" s="57" t="s">
        <v>45</v>
      </c>
      <c r="B29" s="57"/>
      <c r="C29" s="22"/>
      <c r="D29" s="38"/>
      <c r="E29" s="22"/>
      <c r="F29" s="23"/>
      <c r="G29" s="20"/>
      <c r="H29" s="32"/>
      <c r="I29" s="33"/>
      <c r="J29" s="26"/>
    </row>
    <row r="30" s="4" customFormat="1" ht="16.5" spans="1:10">
      <c r="A30" s="57" t="s">
        <v>46</v>
      </c>
      <c r="B30" s="57"/>
      <c r="C30" s="58" t="s">
        <v>47</v>
      </c>
      <c r="D30" s="38"/>
      <c r="E30" s="22"/>
      <c r="F30" s="23"/>
      <c r="G30" s="20"/>
      <c r="H30" s="32"/>
      <c r="I30" s="33"/>
      <c r="J30" s="26"/>
    </row>
    <row r="31" ht="15.5" spans="1:10">
      <c r="A31" s="57" t="s">
        <v>48</v>
      </c>
      <c r="B31" s="20"/>
      <c r="C31" s="20"/>
      <c r="D31" s="31"/>
      <c r="E31" s="22"/>
      <c r="F31" s="23"/>
      <c r="G31" s="20"/>
      <c r="H31" s="32"/>
      <c r="I31" s="32"/>
      <c r="J31" s="35"/>
    </row>
    <row r="32" ht="15.5" spans="1:10">
      <c r="A32" s="20"/>
      <c r="B32" s="20"/>
      <c r="C32" s="20"/>
      <c r="D32" s="31"/>
      <c r="E32" s="22"/>
      <c r="F32" s="23"/>
      <c r="G32" s="20"/>
      <c r="H32" s="32"/>
      <c r="I32" s="32"/>
      <c r="J32" s="35"/>
    </row>
  </sheetData>
  <mergeCells count="3">
    <mergeCell ref="A1:D1"/>
    <mergeCell ref="A2:D3"/>
    <mergeCell ref="F1:I4"/>
  </mergeCells>
  <hyperlinks>
    <hyperlink ref="A8" r:id="rId2" display=" SINGAPORE 415875"/>
  </hyperlinks>
  <pageMargins left="0.75" right="0.75" top="1" bottom="1" header="0.5" footer="0.5"/>
  <pageSetup paperSize="9" scale="72" orientation="landscape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Company>www.ftpdown.com</Company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FtpDown</dc:creator>
  <cp:lastModifiedBy>Joyce</cp:lastModifiedBy>
  <dcterms:created xsi:type="dcterms:W3CDTF">2014-04-21T05:59:00Z</dcterms:created>
  <cp:lastPrinted>2023-02-14T03:35:00Z</cp:lastPrinted>
  <dcterms:modified xsi:type="dcterms:W3CDTF">2026-02-09T05:59:20Z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2052-12.1.0.24657</vt:lpwstr>
  </property>
  <property fmtid="{D5CDD505-2E9C-101B-9397-08002B2CF9AE}" pid="3" name="ICV">
    <vt:lpwstr>EA74DF2B0D75491CA08D50E0737EB4EB_13</vt:lpwstr>
  </property>
  <property fmtid="{D5CDD505-2E9C-101B-9397-08002B2CF9AE}" pid="4" name="CalculationRule">
    <vt:i4>0</vt:i4>
  </property>
</Properties>
</file>