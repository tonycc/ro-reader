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INV" sheetId="2" r:id="rId1"/>
    <sheet name="PL " sheetId="3" r:id="rId2"/>
  </sheets>
  <definedNames>
    <definedName name="_xlnm._FilterDatabase" localSheetId="1" hidden="1">'PL '!$A$17:$M$19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<sst xmlns="http://schemas.openxmlformats.org/spreadsheetml/2006/main" count="122" uniqueCount="60">
  <si>
    <t>GLOBALSINO PTE.LTD.</t>
  </si>
  <si>
    <t>INVOICE</t>
  </si>
  <si>
    <t>10 KAKI BUKIT ROAD 2, #01-37, FIRST EAST CENTRE, SINGAPORE 417868</t>
  </si>
  <si>
    <t>TO:E MAX SPORT PTE. LTD.</t>
  </si>
  <si>
    <t>INVOICE #:</t>
  </si>
  <si>
    <t>ELEW20260525</t>
  </si>
  <si>
    <t>8 KAKI BUKIT AVENUE 4, #08-32,PREMIER @ KAKI BUKIT,</t>
  </si>
  <si>
    <t xml:space="preserve">DATE: </t>
  </si>
  <si>
    <t xml:space="preserve"> SINGAPORE 415875</t>
  </si>
  <si>
    <t xml:space="preserve">TERM: </t>
  </si>
  <si>
    <t>T/T 75DAYS AFTER BL DATE</t>
  </si>
  <si>
    <t>Shipped per ss/mv</t>
  </si>
  <si>
    <t>From:QINGDAO,CHINA</t>
  </si>
  <si>
    <t>To:KANSAS CITY, MO,USA</t>
  </si>
  <si>
    <t xml:space="preserve"> PO#</t>
  </si>
  <si>
    <t xml:space="preserve">GOODS </t>
  </si>
  <si>
    <t>SAP ITEM#</t>
  </si>
  <si>
    <t>REEL</t>
  </si>
  <si>
    <t>QTY</t>
  </si>
  <si>
    <t>TOTAL</t>
  </si>
  <si>
    <t>DESCRIPT</t>
  </si>
  <si>
    <t>FOB, USD</t>
  </si>
  <si>
    <t>AMOUNT</t>
  </si>
  <si>
    <t>FISHING REELS</t>
  </si>
  <si>
    <t>CB2500.B2</t>
  </si>
  <si>
    <t>21-44640</t>
  </si>
  <si>
    <t>PCS</t>
  </si>
  <si>
    <t>CB3000.B2</t>
  </si>
  <si>
    <t>21-44641</t>
  </si>
  <si>
    <t>CB4000.B2</t>
  </si>
  <si>
    <t>21-44642</t>
  </si>
  <si>
    <t>CB6000.B2</t>
  </si>
  <si>
    <t>21-44644</t>
  </si>
  <si>
    <t>CB8000.B2</t>
  </si>
  <si>
    <t>21-44645</t>
  </si>
  <si>
    <t>ORIGIN IN CHINA</t>
  </si>
  <si>
    <t>PACKING LIST</t>
  </si>
  <si>
    <t xml:space="preserve">C/T#:                    </t>
  </si>
  <si>
    <t>Invoice No.</t>
  </si>
  <si>
    <r>
      <rPr>
        <sz val="12"/>
        <color rgb="FFFF0000"/>
        <rFont val="Times New Roman"/>
        <charset val="0"/>
      </rPr>
      <t>PO record AL</t>
    </r>
    <r>
      <rPr>
        <sz val="12"/>
        <color rgb="FFFF0000"/>
        <rFont val="宋体"/>
        <charset val="0"/>
      </rPr>
      <t>列</t>
    </r>
    <r>
      <rPr>
        <sz val="12"/>
        <color rgb="FFFF0000"/>
        <rFont val="Times New Roman"/>
        <charset val="0"/>
      </rPr>
      <t>"INV#"</t>
    </r>
  </si>
  <si>
    <t>MADE IN CHINA</t>
  </si>
  <si>
    <t>SAP PO#</t>
  </si>
  <si>
    <t>Description of Goods</t>
  </si>
  <si>
    <t>Quantity</t>
  </si>
  <si>
    <t>Net Weight</t>
  </si>
  <si>
    <t>Gross Weight</t>
  </si>
  <si>
    <t>Measurement</t>
  </si>
  <si>
    <t>CTNS</t>
  </si>
  <si>
    <r>
      <rPr>
        <sz val="9"/>
        <color rgb="FFFF0000"/>
        <rFont val="宋体"/>
        <charset val="0"/>
      </rPr>
      <t>客户</t>
    </r>
    <r>
      <rPr>
        <sz val="9"/>
        <color rgb="FFFF0000"/>
        <rFont val="Arial"/>
        <charset val="0"/>
      </rPr>
      <t xml:space="preserve"> PO A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"Purchasing Document"</t>
    </r>
  </si>
  <si>
    <r>
      <rPr>
        <sz val="10"/>
        <color rgb="FFFF0000"/>
        <rFont val="Calibri"/>
        <charset val="0"/>
      </rPr>
      <t>PO record E</t>
    </r>
    <r>
      <rPr>
        <sz val="10"/>
        <color rgb="FFFF0000"/>
        <rFont val="宋体"/>
        <charset val="0"/>
      </rPr>
      <t>列</t>
    </r>
    <r>
      <rPr>
        <sz val="10"/>
        <color rgb="FFFF0000"/>
        <rFont val="Calibri"/>
        <charset val="0"/>
      </rPr>
      <t xml:space="preserve">"description", </t>
    </r>
  </si>
  <si>
    <r>
      <rPr>
        <sz val="9"/>
        <color rgb="FFFF0000"/>
        <rFont val="宋体"/>
        <charset val="134"/>
      </rPr>
      <t>PO record</t>
    </r>
    <r>
      <rPr>
        <sz val="9"/>
        <color rgb="FFFF0000"/>
        <rFont val="Arial"/>
        <charset val="134"/>
      </rPr>
      <t xml:space="preserve"> D</t>
    </r>
    <r>
      <rPr>
        <sz val="9"/>
        <color rgb="FFFF0000"/>
        <rFont val="宋体"/>
        <charset val="134"/>
      </rPr>
      <t>列</t>
    </r>
    <r>
      <rPr>
        <sz val="9"/>
        <color rgb="FFFF0000"/>
        <rFont val="Arial"/>
        <charset val="134"/>
      </rPr>
      <t>"SAP NO."</t>
    </r>
  </si>
  <si>
    <r>
      <rPr>
        <sz val="9"/>
        <color rgb="FFFF0000"/>
        <rFont val="Arial"/>
        <charset val="0"/>
      </rPr>
      <t>PO record AM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"SHIP QTY"</t>
    </r>
  </si>
  <si>
    <r>
      <rPr>
        <sz val="9"/>
        <color rgb="FFFF0000"/>
        <rFont val="Arial"/>
        <charset val="0"/>
      </rPr>
      <t xml:space="preserve">PO record AE 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"N/W"</t>
    </r>
  </si>
  <si>
    <t>固定值</t>
  </si>
  <si>
    <r>
      <rPr>
        <sz val="9"/>
        <color rgb="FFFF0000"/>
        <rFont val="Arial"/>
        <charset val="0"/>
      </rPr>
      <t>PO record AF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"G/W"</t>
    </r>
  </si>
  <si>
    <r>
      <rPr>
        <sz val="9"/>
        <color rgb="FFFF0000"/>
        <rFont val="Arial"/>
        <charset val="0"/>
      </rPr>
      <t>PO record AJ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"total CBM"</t>
    </r>
  </si>
  <si>
    <r>
      <rPr>
        <sz val="9"/>
        <color rgb="FFFF0000"/>
        <rFont val="Arial"/>
        <charset val="0"/>
      </rPr>
      <t>PO record AD</t>
    </r>
    <r>
      <rPr>
        <sz val="9"/>
        <color rgb="FFFF0000"/>
        <rFont val="宋体"/>
        <charset val="0"/>
      </rPr>
      <t>列</t>
    </r>
    <r>
      <rPr>
        <sz val="9"/>
        <color rgb="FFFF0000"/>
        <rFont val="Arial"/>
        <charset val="0"/>
      </rPr>
      <t>"CTN"</t>
    </r>
  </si>
  <si>
    <t>KGS</t>
  </si>
  <si>
    <t>CBM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</si>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</sst>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);[Red]\(0.00\)"/>
    <numFmt numFmtId="178" formatCode="yyyy/m/d;@"/>
    <numFmt numFmtId="179" formatCode="0_);\(0\)"/>
    <numFmt numFmtId="180" formatCode="[$-409]d/mmm/yy;@"/>
    <numFmt numFmtId="181" formatCode="0_);[Red]\(0\)"/>
    <numFmt numFmtId="182" formatCode="0.00_ "/>
    <numFmt numFmtId="183" formatCode="mmm/dd/yyyy"/>
    <numFmt numFmtId="184" formatCode="\$#,##0.00;\-\$#,##0.00"/>
  </numFmts>
  <fonts count="73">
    <font>
      <sz val="12"/>
      <name val="宋体"/>
      <charset val="134"/>
    </font>
    <font>
      <sz val="9"/>
      <name val="Arial"/>
      <charset val="134"/>
    </font>
    <font>
      <b/>
      <sz val="9"/>
      <name val="Arial"/>
      <charset val="134"/>
    </font>
    <font>
      <b/>
      <sz val="20"/>
      <name val="Cooper Black"/>
      <charset val="134"/>
    </font>
    <font>
      <b/>
      <sz val="20"/>
      <name val="Arial"/>
      <charset val="134"/>
    </font>
    <font>
      <b/>
      <sz val="24"/>
      <name val="Arial Black"/>
      <charset val="134"/>
    </font>
    <font>
      <sz val="8"/>
      <name val="Franklin Gothic Demi"/>
      <charset val="134"/>
    </font>
    <font>
      <sz val="12"/>
      <name val="Arial"/>
      <charset val="134"/>
    </font>
    <font>
      <b/>
      <sz val="11"/>
      <name val="Cooper Black"/>
      <charset val="134"/>
    </font>
    <font>
      <b/>
      <sz val="24"/>
      <name val="Cooper Black"/>
      <charset val="134"/>
    </font>
    <font>
      <sz val="16"/>
      <name val="Arial"/>
      <charset val="134"/>
    </font>
    <font>
      <sz val="12"/>
      <name val="Times New Roman"/>
      <charset val="0"/>
    </font>
    <font>
      <b/>
      <sz val="10"/>
      <name val="Arial"/>
      <charset val="0"/>
    </font>
    <font>
      <u/>
      <sz val="12"/>
      <name val="Times New Roman"/>
      <charset val="0"/>
    </font>
    <font>
      <sz val="12"/>
      <color rgb="FF00B0F0"/>
      <name val="Times New Roman"/>
      <charset val="0"/>
    </font>
    <font>
      <sz val="12"/>
      <color rgb="FFFF0000"/>
      <name val="Times New Roman"/>
      <charset val="0"/>
    </font>
    <font>
      <sz val="12"/>
      <color rgb="FF00B0F0"/>
      <name val="宋体"/>
      <charset val="134"/>
    </font>
    <font>
      <b/>
      <sz val="12"/>
      <name val="Times New Roman"/>
      <charset val="0"/>
    </font>
    <font>
      <sz val="9"/>
      <color rgb="FFFF0000"/>
      <name val="宋体"/>
      <charset val="0"/>
    </font>
    <font>
      <sz val="10"/>
      <color rgb="FFFF0000"/>
      <name val="Calibri"/>
      <charset val="0"/>
    </font>
    <font>
      <sz val="9"/>
      <color rgb="FFFF0000"/>
      <name val="宋体"/>
      <charset val="134"/>
    </font>
    <font>
      <sz val="9"/>
      <color rgb="FFFF0000"/>
      <name val="Arial"/>
      <charset val="0"/>
    </font>
    <font>
      <b/>
      <sz val="12"/>
      <color rgb="FF00B0F0"/>
      <name val="宋体"/>
      <charset val="0"/>
    </font>
    <font>
      <b/>
      <sz val="11"/>
      <color rgb="FF000000"/>
      <name val="Arial"/>
      <charset val="134"/>
    </font>
    <font>
      <sz val="13"/>
      <name val="Times New Roman"/>
      <charset val="134"/>
    </font>
    <font>
      <b/>
      <sz val="28"/>
      <name val="Arial Black"/>
      <charset val="134"/>
    </font>
    <font>
      <sz val="12"/>
      <color rgb="FFFF0000"/>
      <name val="宋体"/>
      <charset val="134"/>
    </font>
    <font>
      <sz val="9"/>
      <color rgb="FF00B0F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6"/>
    </font>
    <font>
      <b/>
      <sz val="15"/>
      <color indexed="62"/>
      <name val="新細明體"/>
      <charset val="134"/>
    </font>
    <font>
      <sz val="12"/>
      <name val="新細明體"/>
      <charset val="134"/>
    </font>
    <font>
      <sz val="12"/>
      <name val="新細明體"/>
      <charset val="136"/>
    </font>
    <font>
      <sz val="12"/>
      <color indexed="9"/>
      <name val="新細明體"/>
      <charset val="136"/>
    </font>
    <font>
      <sz val="12"/>
      <color indexed="19"/>
      <name val="新細明體"/>
      <charset val="134"/>
    </font>
    <font>
      <sz val="12"/>
      <color indexed="10"/>
      <name val="新細明體"/>
      <charset val="134"/>
    </font>
    <font>
      <b/>
      <sz val="18"/>
      <color indexed="62"/>
      <name val="新細明體"/>
      <charset val="136"/>
    </font>
    <font>
      <b/>
      <sz val="15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0"/>
      <name val="Arial"/>
      <charset val="134"/>
    </font>
    <font>
      <sz val="11"/>
      <color indexed="8"/>
      <name val="宋体"/>
      <charset val="134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2"/>
      <color indexed="10"/>
      <name val="新細明體"/>
      <charset val="136"/>
    </font>
    <font>
      <b/>
      <sz val="12"/>
      <color indexed="9"/>
      <name val="新細明體"/>
      <charset val="136"/>
    </font>
    <font>
      <sz val="12"/>
      <color indexed="10"/>
      <name val="新細明體"/>
      <charset val="136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color indexed="19"/>
      <name val="新細明體"/>
      <charset val="136"/>
    </font>
    <font>
      <sz val="9"/>
      <color rgb="FFFF0000"/>
      <name val="Arial"/>
      <charset val="134"/>
    </font>
    <font>
      <sz val="12"/>
      <color rgb="FFFF0000"/>
      <name val="宋体"/>
      <charset val="0"/>
    </font>
    <font>
      <sz val="10"/>
      <color rgb="FFFF0000"/>
      <name val="宋体"/>
      <charset val="0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20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4" borderId="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4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6" fillId="0" borderId="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" borderId="6" applyNumberFormat="0" applyAlignment="0" applyProtection="0">
      <alignment vertical="center"/>
    </xf>
    <xf numFmtId="0" fontId="38" fillId="6" borderId="7" applyNumberFormat="0" applyAlignment="0" applyProtection="0">
      <alignment vertical="center"/>
    </xf>
    <xf numFmtId="0" fontId="39" fillId="6" borderId="6" applyNumberFormat="0" applyAlignment="0" applyProtection="0">
      <alignment vertical="center"/>
    </xf>
    <xf numFmtId="0" fontId="40" fillId="7" borderId="8" applyNumberFormat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8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0" borderId="0"/>
    <xf numFmtId="0" fontId="0" fillId="0" borderId="0"/>
    <xf numFmtId="0" fontId="49" fillId="0" borderId="0"/>
    <xf numFmtId="0" fontId="49" fillId="0" borderId="0"/>
    <xf numFmtId="0" fontId="50" fillId="0" borderId="0">
      <alignment vertical="center"/>
    </xf>
    <xf numFmtId="0" fontId="51" fillId="0" borderId="0"/>
    <xf numFmtId="0" fontId="0" fillId="0" borderId="0"/>
    <xf numFmtId="0" fontId="48" fillId="38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0" borderId="0"/>
    <xf numFmtId="0" fontId="53" fillId="0" borderId="0"/>
    <xf numFmtId="0" fontId="54" fillId="0" borderId="0"/>
    <xf numFmtId="0" fontId="53" fillId="0" borderId="0"/>
    <xf numFmtId="0" fontId="51" fillId="36" borderId="11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12" applyNumberFormat="0" applyFill="0" applyAlignment="0" applyProtection="0">
      <alignment vertical="center"/>
    </xf>
    <xf numFmtId="0" fontId="57" fillId="0" borderId="13" applyNumberFormat="0" applyFill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0" fillId="0" borderId="0">
      <alignment vertical="center"/>
    </xf>
    <xf numFmtId="0" fontId="28" fillId="0" borderId="0">
      <alignment vertical="center"/>
    </xf>
    <xf numFmtId="0" fontId="59" fillId="0" borderId="0"/>
    <xf numFmtId="0" fontId="0" fillId="0" borderId="0">
      <alignment vertical="center"/>
    </xf>
    <xf numFmtId="0" fontId="28" fillId="0" borderId="0">
      <alignment vertical="center"/>
    </xf>
    <xf numFmtId="0" fontId="53" fillId="0" borderId="0"/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49" fillId="0" borderId="0"/>
    <xf numFmtId="0" fontId="49" fillId="0" borderId="0"/>
    <xf numFmtId="0" fontId="0" fillId="0" borderId="0">
      <alignment vertical="center"/>
    </xf>
    <xf numFmtId="0" fontId="0" fillId="0" borderId="0"/>
    <xf numFmtId="0" fontId="0" fillId="0" borderId="0"/>
    <xf numFmtId="0" fontId="60" fillId="0" borderId="0">
      <alignment vertical="center"/>
    </xf>
    <xf numFmtId="0" fontId="53" fillId="0" borderId="0"/>
    <xf numFmtId="0" fontId="52" fillId="43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61" fillId="0" borderId="15" applyNumberFormat="0" applyFill="0" applyAlignment="0" applyProtection="0">
      <alignment vertical="center"/>
    </xf>
    <xf numFmtId="0" fontId="62" fillId="47" borderId="0" applyNumberFormat="0" applyBorder="0" applyAlignment="0" applyProtection="0">
      <alignment vertical="center"/>
    </xf>
    <xf numFmtId="0" fontId="63" fillId="48" borderId="16" applyNumberFormat="0" applyAlignment="0" applyProtection="0">
      <alignment vertical="center"/>
    </xf>
    <xf numFmtId="0" fontId="64" fillId="49" borderId="17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18" applyNumberFormat="0" applyFill="0" applyAlignment="0" applyProtection="0">
      <alignment vertical="center"/>
    </xf>
    <xf numFmtId="0" fontId="66" fillId="48" borderId="19" applyNumberFormat="0" applyAlignment="0" applyProtection="0">
      <alignment vertical="center"/>
    </xf>
    <xf numFmtId="0" fontId="67" fillId="39" borderId="16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3" fillId="0" borderId="0"/>
    <xf numFmtId="0" fontId="69" fillId="39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0" fillId="0" borderId="0"/>
  </cellStyleXfs>
  <cellXfs count="113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117" applyFont="1" applyAlignment="1" applyProtection="1">
      <alignment vertical="center"/>
      <protection locked="0"/>
    </xf>
    <xf numFmtId="0" fontId="1" fillId="0" borderId="0" xfId="118" applyFont="1" applyAlignment="1" applyProtection="1">
      <alignment vertical="center"/>
      <protection locked="0"/>
    </xf>
    <xf numFmtId="0" fontId="2" fillId="0" borderId="0" xfId="117" applyFont="1" applyAlignment="1" applyProtection="1">
      <alignment vertical="center"/>
      <protection locked="0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177" fontId="0" fillId="0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left"/>
    </xf>
    <xf numFmtId="0" fontId="11" fillId="2" borderId="0" xfId="0" applyNumberFormat="1" applyFont="1" applyFill="1" applyBorder="1" applyAlignment="1">
      <alignment horizontal="left"/>
    </xf>
    <xf numFmtId="0" fontId="12" fillId="2" borderId="0" xfId="119" applyFont="1" applyFill="1" applyBorder="1" applyAlignment="1">
      <alignment vertical="center"/>
    </xf>
    <xf numFmtId="1" fontId="11" fillId="2" borderId="0" xfId="0" applyNumberFormat="1" applyFont="1" applyFill="1" applyBorder="1" applyAlignment="1"/>
    <xf numFmtId="0" fontId="11" fillId="2" borderId="0" xfId="0" applyNumberFormat="1" applyFont="1" applyFill="1" applyBorder="1" applyAlignment="1">
      <alignment shrinkToFit="1"/>
    </xf>
    <xf numFmtId="177" fontId="11" fillId="2" borderId="0" xfId="0" applyNumberFormat="1" applyFont="1" applyFill="1" applyBorder="1" applyAlignment="1"/>
    <xf numFmtId="177" fontId="11" fillId="2" borderId="0" xfId="0" applyNumberFormat="1" applyFont="1" applyFill="1" applyBorder="1" applyAlignment="1">
      <alignment horizontal="left"/>
    </xf>
    <xf numFmtId="177" fontId="13" fillId="2" borderId="0" xfId="0" applyNumberFormat="1" applyFont="1" applyFill="1" applyBorder="1" applyAlignment="1">
      <alignment shrinkToFit="1"/>
    </xf>
    <xf numFmtId="178" fontId="14" fillId="2" borderId="0" xfId="0" applyNumberFormat="1" applyFont="1" applyFill="1" applyBorder="1" applyAlignment="1">
      <alignment horizontal="center" vertical="center" shrinkToFit="1"/>
    </xf>
    <xf numFmtId="177" fontId="15" fillId="0" borderId="0" xfId="0" applyNumberFormat="1" applyFont="1" applyFill="1" applyBorder="1" applyAlignment="1"/>
    <xf numFmtId="0" fontId="11" fillId="2" borderId="0" xfId="0" applyFont="1" applyFill="1" applyBorder="1" applyAlignment="1">
      <alignment shrinkToFit="1"/>
    </xf>
    <xf numFmtId="0" fontId="11" fillId="2" borderId="0" xfId="0" applyFont="1" applyFill="1" applyBorder="1" applyAlignment="1">
      <alignment horizontal="center" shrinkToFit="1"/>
    </xf>
    <xf numFmtId="177" fontId="11" fillId="2" borderId="0" xfId="0" applyNumberFormat="1" applyFont="1" applyFill="1" applyBorder="1" applyAlignment="1">
      <alignment horizontal="left" shrinkToFit="1"/>
    </xf>
    <xf numFmtId="49" fontId="11" fillId="2" borderId="0" xfId="0" applyNumberFormat="1" applyFont="1" applyFill="1" applyBorder="1" applyAlignment="1"/>
    <xf numFmtId="0" fontId="11" fillId="2" borderId="0" xfId="0" applyNumberFormat="1" applyFont="1" applyFill="1" applyBorder="1" applyAlignment="1"/>
    <xf numFmtId="177" fontId="11" fillId="2" borderId="0" xfId="0" applyNumberFormat="1" applyFont="1" applyFill="1" applyBorder="1" applyAlignment="1">
      <alignment shrinkToFit="1"/>
    </xf>
    <xf numFmtId="0" fontId="11" fillId="2" borderId="0" xfId="0" applyFont="1" applyFill="1" applyBorder="1" applyAlignment="1">
      <alignment horizontal="left" shrinkToFit="1"/>
    </xf>
    <xf numFmtId="0" fontId="11" fillId="2" borderId="1" xfId="0" applyFont="1" applyFill="1" applyBorder="1" applyAlignment="1"/>
    <xf numFmtId="0" fontId="11" fillId="2" borderId="1" xfId="0" applyNumberFormat="1" applyFont="1" applyFill="1" applyBorder="1" applyAlignment="1"/>
    <xf numFmtId="0" fontId="11" fillId="2" borderId="1" xfId="0" applyFont="1" applyFill="1" applyBorder="1" applyAlignment="1">
      <alignment horizontal="center"/>
    </xf>
    <xf numFmtId="177" fontId="11" fillId="2" borderId="1" xfId="0" applyNumberFormat="1" applyFont="1" applyFill="1" applyBorder="1" applyAlignment="1">
      <alignment horizontal="center"/>
    </xf>
    <xf numFmtId="177" fontId="11" fillId="2" borderId="1" xfId="0" applyNumberFormat="1" applyFont="1" applyFill="1" applyBorder="1" applyAlignment="1">
      <alignment horizontal="center" shrinkToFit="1"/>
    </xf>
    <xf numFmtId="0" fontId="16" fillId="2" borderId="0" xfId="0" applyFont="1" applyFill="1" applyBorder="1" applyAlignment="1">
      <alignment horizontal="left" vertical="center"/>
    </xf>
    <xf numFmtId="0" fontId="11" fillId="2" borderId="0" xfId="0" applyNumberFormat="1" applyFont="1" applyFill="1" applyBorder="1" applyAlignment="1">
      <alignment horizontal="center" shrinkToFit="1"/>
    </xf>
    <xf numFmtId="0" fontId="11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/>
    <xf numFmtId="0" fontId="11" fillId="2" borderId="0" xfId="0" applyFont="1" applyFill="1" applyBorder="1" applyAlignment="1">
      <alignment horizontal="left" vertical="center"/>
    </xf>
    <xf numFmtId="179" fontId="11" fillId="2" borderId="0" xfId="0" applyNumberFormat="1" applyFont="1" applyFill="1" applyBorder="1" applyAlignment="1">
      <alignment horizontal="center" vertical="center"/>
    </xf>
    <xf numFmtId="177" fontId="11" fillId="2" borderId="0" xfId="0" applyNumberFormat="1" applyFont="1" applyFill="1" applyBorder="1" applyAlignment="1">
      <alignment horizontal="center" vertical="center"/>
    </xf>
    <xf numFmtId="177" fontId="11" fillId="2" borderId="0" xfId="0" applyNumberFormat="1" applyFont="1" applyFill="1" applyBorder="1" applyAlignment="1">
      <alignment horizontal="center"/>
    </xf>
    <xf numFmtId="180" fontId="18" fillId="2" borderId="0" xfId="0" applyNumberFormat="1" applyFont="1" applyFill="1" applyBorder="1" applyAlignment="1">
      <alignment horizontal="left" vertical="center" wrapText="1"/>
    </xf>
    <xf numFmtId="180" fontId="19" fillId="2" borderId="0" xfId="0" applyNumberFormat="1" applyFont="1" applyFill="1" applyBorder="1" applyAlignment="1">
      <alignment horizontal="left" vertical="center" wrapText="1"/>
    </xf>
    <xf numFmtId="180" fontId="20" fillId="2" borderId="0" xfId="0" applyNumberFormat="1" applyFont="1" applyFill="1" applyBorder="1" applyAlignment="1">
      <alignment horizontal="left" vertical="center" wrapText="1"/>
    </xf>
    <xf numFmtId="180" fontId="21" fillId="2" borderId="0" xfId="0" applyNumberFormat="1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shrinkToFit="1"/>
    </xf>
    <xf numFmtId="181" fontId="11" fillId="2" borderId="0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/>
    <xf numFmtId="0" fontId="11" fillId="2" borderId="2" xfId="0" applyNumberFormat="1" applyFont="1" applyFill="1" applyBorder="1" applyAlignment="1"/>
    <xf numFmtId="0" fontId="11" fillId="2" borderId="2" xfId="0" applyFont="1" applyFill="1" applyBorder="1" applyAlignment="1">
      <alignment horizontal="left"/>
    </xf>
    <xf numFmtId="177" fontId="11" fillId="2" borderId="2" xfId="0" applyNumberFormat="1" applyFont="1" applyFill="1" applyBorder="1" applyAlignment="1"/>
    <xf numFmtId="177" fontId="11" fillId="2" borderId="2" xfId="0" applyNumberFormat="1" applyFont="1" applyFill="1" applyBorder="1" applyAlignment="1">
      <alignment horizontal="left"/>
    </xf>
    <xf numFmtId="182" fontId="11" fillId="2" borderId="2" xfId="0" applyNumberFormat="1" applyFont="1" applyFill="1" applyBorder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11" fillId="2" borderId="0" xfId="0" applyFont="1" applyFill="1" applyBorder="1" applyAlignment="1"/>
    <xf numFmtId="0" fontId="11" fillId="2" borderId="0" xfId="0" applyFont="1" applyFill="1" applyBorder="1" applyAlignment="1">
      <alignment horizontal="center"/>
    </xf>
    <xf numFmtId="182" fontId="11" fillId="2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Font="1" applyFill="1" applyBorder="1" applyAlignment="1"/>
    <xf numFmtId="0" fontId="11" fillId="0" borderId="0" xfId="0" applyNumberFormat="1" applyFont="1" applyFill="1" applyBorder="1" applyAlignment="1"/>
    <xf numFmtId="177" fontId="11" fillId="0" borderId="0" xfId="0" applyNumberFormat="1" applyFont="1" applyFill="1" applyBorder="1" applyAlignment="1">
      <alignment horizontal="left" shrinkToFit="1"/>
    </xf>
    <xf numFmtId="177" fontId="11" fillId="0" borderId="0" xfId="0" applyNumberFormat="1" applyFont="1" applyFill="1" applyBorder="1" applyAlignment="1"/>
    <xf numFmtId="0" fontId="11" fillId="0" borderId="0" xfId="0" applyFont="1" applyFill="1" applyBorder="1" applyAlignment="1">
      <alignment horizontal="center"/>
    </xf>
    <xf numFmtId="0" fontId="23" fillId="0" borderId="0" xfId="0" applyNumberFormat="1" applyFont="1" applyFill="1" applyAlignment="1"/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87" applyFont="1" applyFill="1" applyAlignment="1">
      <alignment horizontal="left" vertical="center"/>
    </xf>
    <xf numFmtId="0" fontId="24" fillId="2" borderId="0" xfId="87" applyFont="1" applyFill="1">
      <alignment vertical="center"/>
    </xf>
    <xf numFmtId="0" fontId="1" fillId="2" borderId="0" xfId="87" applyFont="1" applyFill="1">
      <alignment vertical="center"/>
    </xf>
    <xf numFmtId="0" fontId="3" fillId="2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>
      <alignment vertical="center"/>
    </xf>
    <xf numFmtId="0" fontId="1" fillId="2" borderId="0" xfId="55" applyFont="1" applyFill="1" applyAlignment="1" applyProtection="1">
      <alignment horizontal="left" vertical="center"/>
      <protection locked="0"/>
    </xf>
    <xf numFmtId="183" fontId="1" fillId="2" borderId="0" xfId="55" applyNumberFormat="1" applyFont="1" applyFill="1" applyBorder="1" applyAlignment="1" applyProtection="1">
      <alignment horizontal="left" vertical="center"/>
      <protection locked="0"/>
    </xf>
    <xf numFmtId="0" fontId="1" fillId="2" borderId="0" xfId="55" applyFont="1" applyFill="1" applyAlignment="1" applyProtection="1">
      <alignment vertical="center"/>
      <protection locked="0"/>
    </xf>
    <xf numFmtId="0" fontId="1" fillId="2" borderId="0" xfId="0" applyFont="1" applyFill="1" applyAlignment="1">
      <alignment horizontal="right" vertical="center"/>
    </xf>
    <xf numFmtId="49" fontId="1" fillId="2" borderId="0" xfId="55" applyNumberFormat="1" applyFont="1" applyFill="1" applyAlignment="1" applyProtection="1">
      <alignment vertical="center" wrapText="1"/>
      <protection locked="0"/>
    </xf>
    <xf numFmtId="0" fontId="16" fillId="2" borderId="0" xfId="0" applyFont="1" applyFill="1" applyBorder="1" applyAlignment="1">
      <alignment horizontal="center"/>
    </xf>
    <xf numFmtId="26" fontId="11" fillId="2" borderId="0" xfId="0" applyNumberFormat="1" applyFont="1" applyFill="1" applyBorder="1" applyAlignment="1">
      <alignment horizontal="left"/>
    </xf>
    <xf numFmtId="181" fontId="11" fillId="2" borderId="0" xfId="0" applyNumberFormat="1" applyFont="1" applyFill="1" applyBorder="1" applyAlignment="1">
      <alignment horizontal="right"/>
    </xf>
    <xf numFmtId="26" fontId="11" fillId="2" borderId="0" xfId="0" applyNumberFormat="1" applyFont="1" applyFill="1" applyBorder="1" applyAlignment="1">
      <alignment horizontal="left" shrinkToFit="1"/>
    </xf>
    <xf numFmtId="26" fontId="11" fillId="3" borderId="0" xfId="0" applyNumberFormat="1" applyFont="1" applyFill="1" applyBorder="1" applyAlignment="1">
      <alignment horizontal="left"/>
    </xf>
    <xf numFmtId="177" fontId="15" fillId="0" borderId="0" xfId="0" applyNumberFormat="1" applyFont="1" applyFill="1" applyBorder="1" applyAlignment="1">
      <alignment shrinkToFit="1"/>
    </xf>
    <xf numFmtId="178" fontId="11" fillId="2" borderId="0" xfId="0" applyNumberFormat="1" applyFont="1" applyFill="1" applyBorder="1" applyAlignment="1">
      <alignment horizontal="left"/>
    </xf>
    <xf numFmtId="49" fontId="20" fillId="2" borderId="0" xfId="55" applyNumberFormat="1" applyFont="1" applyFill="1" applyAlignment="1" applyProtection="1">
      <alignment horizontal="left" vertical="center" wrapText="1"/>
      <protection locked="0"/>
    </xf>
    <xf numFmtId="0" fontId="16" fillId="0" borderId="0" xfId="0" applyFont="1" applyFill="1" applyBorder="1" applyAlignment="1"/>
    <xf numFmtId="26" fontId="11" fillId="2" borderId="0" xfId="0" applyNumberFormat="1" applyFont="1" applyFill="1" applyBorder="1" applyAlignment="1">
      <alignment horizontal="right" shrinkToFit="1"/>
    </xf>
    <xf numFmtId="26" fontId="11" fillId="2" borderId="0" xfId="0" applyNumberFormat="1" applyFont="1" applyFill="1" applyBorder="1" applyAlignment="1">
      <alignment horizontal="center" shrinkToFit="1"/>
    </xf>
    <xf numFmtId="0" fontId="13" fillId="2" borderId="0" xfId="0" applyFont="1" applyFill="1" applyBorder="1" applyAlignment="1">
      <alignment horizontal="left"/>
    </xf>
    <xf numFmtId="182" fontId="11" fillId="0" borderId="0" xfId="0" applyNumberFormat="1" applyFont="1" applyFill="1" applyBorder="1" applyAlignment="1"/>
    <xf numFmtId="0" fontId="26" fillId="2" borderId="0" xfId="0" applyFont="1" applyFill="1" applyBorder="1" applyAlignment="1">
      <alignment horizontal="center"/>
    </xf>
    <xf numFmtId="182" fontId="11" fillId="2" borderId="0" xfId="0" applyNumberFormat="1" applyFont="1" applyFill="1" applyBorder="1" applyAlignment="1"/>
    <xf numFmtId="26" fontId="11" fillId="2" borderId="0" xfId="0" applyNumberFormat="1" applyFont="1" applyFill="1" applyBorder="1" applyAlignment="1">
      <alignment horizontal="center"/>
    </xf>
    <xf numFmtId="26" fontId="11" fillId="2" borderId="0" xfId="0" applyNumberFormat="1" applyFont="1" applyFill="1" applyBorder="1" applyAlignment="1">
      <alignment horizontal="right"/>
    </xf>
    <xf numFmtId="26" fontId="11" fillId="2" borderId="1" xfId="0" applyNumberFormat="1" applyFont="1" applyFill="1" applyBorder="1" applyAlignment="1">
      <alignment horizontal="center"/>
    </xf>
    <xf numFmtId="181" fontId="11" fillId="2" borderId="1" xfId="0" applyNumberFormat="1" applyFont="1" applyFill="1" applyBorder="1" applyAlignment="1">
      <alignment horizontal="right"/>
    </xf>
    <xf numFmtId="26" fontId="11" fillId="2" borderId="1" xfId="0" applyNumberFormat="1" applyFont="1" applyFill="1" applyBorder="1" applyAlignment="1">
      <alignment horizontal="right"/>
    </xf>
    <xf numFmtId="180" fontId="27" fillId="2" borderId="0" xfId="0" applyNumberFormat="1" applyFont="1" applyFill="1" applyBorder="1" applyAlignment="1">
      <alignment horizontal="left" vertical="center" wrapText="1"/>
    </xf>
    <xf numFmtId="26" fontId="11" fillId="2" borderId="0" xfId="0" applyNumberFormat="1" applyFont="1" applyFill="1" applyBorder="1" applyAlignment="1">
      <alignment horizontal="center" vertical="center"/>
    </xf>
    <xf numFmtId="25" fontId="11" fillId="2" borderId="0" xfId="0" applyNumberFormat="1" applyFont="1" applyFill="1" applyBorder="1" applyAlignment="1">
      <alignment horizontal="center" vertical="center"/>
    </xf>
    <xf numFmtId="26" fontId="11" fillId="2" borderId="1" xfId="0" applyNumberFormat="1" applyFont="1" applyFill="1" applyBorder="1" applyAlignment="1">
      <alignment horizontal="left"/>
    </xf>
    <xf numFmtId="181" fontId="11" fillId="2" borderId="0" xfId="0" applyNumberFormat="1" applyFont="1" applyFill="1" applyBorder="1" applyAlignment="1">
      <alignment horizontal="center"/>
    </xf>
    <xf numFmtId="184" fontId="11" fillId="2" borderId="0" xfId="0" applyNumberFormat="1" applyFont="1" applyFill="1" applyBorder="1" applyAlignment="1">
      <alignment horizontal="center" shrinkToFit="1"/>
    </xf>
    <xf numFmtId="184" fontId="11" fillId="2" borderId="0" xfId="0" applyNumberFormat="1" applyFont="1" applyFill="1" applyBorder="1" applyAlignment="1">
      <alignment shrinkToFit="1"/>
    </xf>
    <xf numFmtId="1" fontId="11" fillId="2" borderId="0" xfId="0" applyNumberFormat="1" applyFont="1" applyFill="1" applyBorder="1" applyAlignment="1">
      <alignment horizontal="left"/>
    </xf>
  </cellXfs>
  <cellStyles count="12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  <cellStyle name="25*62*210_PACKING LIST-V3" xfId="117"/>
    <cellStyle name="常规_PACKING LIST-V3" xfId="118"/>
    <cellStyle name="常规 5 2 2" xfId="119"/>
  </cellStyles>
  <tableStyles count="0" defaultTableStyle="TableStyleMedium9" defaultPivotStyle="PivotStyleLight16"/>
  <colors>
    <mruColors>
      <color rgb="00FFFF99"/>
      <color rgb="00000000"/>
      <color rgb="00FF0000"/>
      <color rgb="001D41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120015</xdr:colOff>
      <xdr:row>0</xdr:row>
      <xdr:rowOff>71755</xdr:rowOff>
    </xdr:from>
    <xdr:to>
      <xdr:col>8</xdr:col>
      <xdr:colOff>986155</xdr:colOff>
      <xdr:row>3</xdr:row>
      <xdr:rowOff>95885</xdr:rowOff>
    </xdr:to>
    <xdr:sp>
      <xdr:nvSpPr>
        <xdr:cNvPr id="2" name="圆角矩形 1"/>
        <xdr:cNvSpPr/>
      </xdr:nvSpPr>
      <xdr:spPr>
        <a:xfrm>
          <a:off x="6894195" y="71755"/>
          <a:ext cx="4144010" cy="927100"/>
        </a:xfrm>
        <a:prstGeom prst="roundRect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153035</xdr:colOff>
      <xdr:row>0</xdr:row>
      <xdr:rowOff>71755</xdr:rowOff>
    </xdr:from>
    <xdr:to>
      <xdr:col>12</xdr:col>
      <xdr:colOff>460375</xdr:colOff>
      <xdr:row>3</xdr:row>
      <xdr:rowOff>95885</xdr:rowOff>
    </xdr:to>
    <xdr:sp>
      <xdr:nvSpPr>
        <xdr:cNvPr id="2" name="圆角矩形 1"/>
        <xdr:cNvSpPr/>
      </xdr:nvSpPr>
      <xdr:spPr>
        <a:xfrm>
          <a:off x="5825490" y="71755"/>
          <a:ext cx="2924810" cy="925830"/>
        </a:xfrm>
        <a:prstGeom prst="roundRect">
          <a:avLst/>
        </a:prstGeom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tel:918-831-6815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9"/>
  <sheetViews>
    <sheetView tabSelected="1" zoomScale="70" zoomScaleNormal="70" topLeftCell="A3" workbookViewId="0">
      <selection activeCell="M29" sqref="M29"/>
    </sheetView>
  </sheetViews>
  <sheetFormatPr defaultColWidth="9" defaultRowHeight="13.6"/>
  <cols>
    <col min="1" max="1" width="17.75" style="76" customWidth="1"/>
    <col min="2" max="2" width="13.375" style="76" customWidth="1"/>
    <col min="3" max="3" width="10.875" style="76" customWidth="1"/>
    <col min="4" max="4" width="13.25" style="76" customWidth="1"/>
    <col min="5" max="5" width="40" style="76" customWidth="1"/>
    <col min="6" max="6" width="13.125" style="76" customWidth="1"/>
    <col min="7" max="7" width="12.5" style="76" customWidth="1"/>
    <col min="8" max="8" width="20.8303571428571" style="76" customWidth="1"/>
    <col min="9" max="9" width="13.5" style="76" customWidth="1"/>
    <col min="10" max="16384" width="9" style="76"/>
  </cols>
  <sheetData>
    <row r="1" s="72" customFormat="1" ht="41.1" customHeight="1" spans="1:10">
      <c r="A1" s="77" t="s">
        <v>0</v>
      </c>
      <c r="B1" s="77"/>
      <c r="C1" s="77"/>
      <c r="D1" s="77"/>
      <c r="E1" s="9"/>
      <c r="F1" s="78" t="s">
        <v>1</v>
      </c>
      <c r="G1" s="78"/>
      <c r="H1" s="78"/>
      <c r="I1" s="78"/>
    </row>
    <row r="2" s="72" customFormat="1" ht="15" customHeight="1" spans="1:10">
      <c r="A2" s="11" t="s">
        <v>2</v>
      </c>
      <c r="B2" s="11"/>
      <c r="C2" s="11"/>
      <c r="D2" s="11"/>
      <c r="E2" s="13"/>
      <c r="F2" s="78"/>
      <c r="G2" s="78"/>
      <c r="H2" s="78"/>
      <c r="I2" s="78"/>
    </row>
    <row r="3" s="72" customFormat="1" ht="15" customHeight="1" spans="1:10">
      <c r="A3" s="11"/>
      <c r="B3" s="11"/>
      <c r="C3" s="11"/>
      <c r="D3" s="11"/>
      <c r="E3" s="14"/>
      <c r="F3" s="78"/>
      <c r="G3" s="78"/>
      <c r="H3" s="78"/>
      <c r="I3" s="78"/>
    </row>
    <row r="4" s="72" customFormat="1" ht="15" customHeight="1" spans="1:10">
      <c r="A4" s="79"/>
      <c r="B4" s="16"/>
      <c r="C4" s="16"/>
      <c r="D4" s="16"/>
      <c r="E4" s="17"/>
      <c r="F4" s="78"/>
      <c r="G4" s="78"/>
      <c r="H4" s="78"/>
      <c r="I4" s="78"/>
    </row>
    <row r="5" s="72" customFormat="1" ht="15.95" customHeight="1" spans="1:10">
      <c r="A5" s="80"/>
      <c r="B5" s="81"/>
      <c r="E5" s="82"/>
      <c r="F5" s="83"/>
      <c r="G5" s="84"/>
      <c r="H5" s="84"/>
    </row>
    <row r="6" s="73" customFormat="1" ht="27" customHeight="1" spans="1:10">
      <c r="A6" s="61" t="s">
        <v>3</v>
      </c>
      <c r="B6" s="61"/>
      <c r="C6" s="61"/>
      <c r="D6" s="85"/>
      <c r="E6" s="86"/>
      <c r="F6" s="87"/>
      <c r="G6" s="88" t="s">
        <v>4</v>
      </c>
      <c r="H6" s="89" t="s">
        <v>5</v>
      </c>
      <c r="I6" s="90"/>
      <c r="J6" s="66"/>
    </row>
    <row r="7" s="73" customFormat="1" ht="18" customHeight="1" spans="1:10">
      <c r="A7" s="61" t="s">
        <v>6</v>
      </c>
      <c r="B7" s="61"/>
      <c r="C7" s="61"/>
      <c r="E7" s="85"/>
      <c r="F7" s="87"/>
      <c r="G7" s="88" t="s">
        <v>7</v>
      </c>
      <c r="H7" s="91">
        <v>46038</v>
      </c>
      <c r="I7" s="92"/>
      <c r="J7" s="66"/>
    </row>
    <row r="8" s="73" customFormat="1" ht="18" customHeight="1" spans="1:10">
      <c r="A8" s="61" t="s">
        <v>8</v>
      </c>
      <c r="B8" s="61"/>
      <c r="C8" s="61"/>
      <c r="D8" s="85"/>
      <c r="E8" s="86"/>
      <c r="F8" s="87"/>
      <c r="G8" s="88" t="s">
        <v>9</v>
      </c>
      <c r="H8" s="86" t="s">
        <v>10</v>
      </c>
      <c r="I8" s="28"/>
      <c r="J8" s="93"/>
    </row>
    <row r="9" s="73" customFormat="1" ht="18" customHeight="1" spans="1:10">
      <c r="A9" s="18"/>
      <c r="B9" s="18"/>
      <c r="C9" s="61"/>
      <c r="D9" s="62"/>
      <c r="E9" s="86"/>
      <c r="F9" s="94"/>
      <c r="G9" s="94"/>
      <c r="H9" s="95"/>
      <c r="I9" s="28"/>
      <c r="J9" s="66"/>
    </row>
    <row r="10" s="73" customFormat="1" ht="18" customHeight="1" spans="1:10">
      <c r="A10" s="96" t="s">
        <v>11</v>
      </c>
      <c r="B10" s="96"/>
      <c r="C10" s="61"/>
      <c r="D10" s="62"/>
      <c r="E10" s="86"/>
      <c r="F10" s="94"/>
      <c r="G10" s="94"/>
      <c r="H10" s="95"/>
      <c r="I10" s="28"/>
      <c r="J10" s="66"/>
    </row>
    <row r="11" s="73" customFormat="1" ht="18" customHeight="1" spans="1:10">
      <c r="A11" s="96" t="s">
        <v>12</v>
      </c>
      <c r="B11" s="96"/>
      <c r="C11" s="61"/>
      <c r="D11" s="85"/>
      <c r="E11" s="86"/>
      <c r="F11" s="87"/>
      <c r="G11" s="61"/>
      <c r="H11" s="94"/>
      <c r="I11" s="94"/>
      <c r="J11" s="97"/>
    </row>
    <row r="12" s="73" customFormat="1" ht="18" customHeight="1" spans="1:10">
      <c r="A12" s="96" t="s">
        <v>13</v>
      </c>
      <c r="B12" s="96"/>
      <c r="C12" s="96"/>
      <c r="D12" s="98"/>
      <c r="E12" s="86"/>
      <c r="F12" s="87"/>
      <c r="G12" s="61"/>
      <c r="H12" s="28"/>
      <c r="I12" s="99"/>
      <c r="J12" s="66"/>
    </row>
    <row r="13" s="74" customFormat="1" ht="18" customHeight="1" spans="1:10">
      <c r="A13" s="61"/>
      <c r="B13" s="62" t="s">
        <v>14</v>
      </c>
      <c r="C13" s="62" t="s">
        <v>15</v>
      </c>
      <c r="D13" s="62" t="s">
        <v>16</v>
      </c>
      <c r="E13" s="100" t="s">
        <v>17</v>
      </c>
      <c r="F13" s="87" t="s">
        <v>18</v>
      </c>
      <c r="G13" s="61"/>
      <c r="H13" s="101" t="s">
        <v>19</v>
      </c>
      <c r="I13" s="99"/>
      <c r="J13" s="66"/>
    </row>
    <row r="14" s="74" customFormat="1" ht="18" customHeight="1" spans="1:10">
      <c r="A14" s="37"/>
      <c r="B14" s="37"/>
      <c r="C14" s="37" t="s">
        <v>20</v>
      </c>
      <c r="D14" s="37"/>
      <c r="E14" s="102" t="s">
        <v>21</v>
      </c>
      <c r="F14" s="103"/>
      <c r="G14" s="35"/>
      <c r="H14" s="104" t="s">
        <v>22</v>
      </c>
      <c r="I14" s="99"/>
      <c r="J14" s="66"/>
    </row>
    <row r="15" s="74" customFormat="1" ht="21.95" customHeight="1" spans="1:10">
      <c r="A15" s="61"/>
      <c r="B15" s="105"/>
      <c r="C15" s="40"/>
      <c r="D15" s="62"/>
      <c r="E15" s="86"/>
      <c r="F15" s="87"/>
      <c r="G15" s="61"/>
      <c r="H15" s="28"/>
      <c r="I15" s="99"/>
      <c r="J15" s="66"/>
    </row>
    <row r="16" s="74" customFormat="1" ht="21.95" customHeight="1" spans="1:10">
      <c r="A16" s="61"/>
      <c r="B16" s="42"/>
      <c r="C16" s="43" t="s">
        <v>23</v>
      </c>
      <c r="D16" s="62"/>
      <c r="E16" s="106"/>
      <c r="F16" s="45"/>
      <c r="G16" s="45"/>
      <c r="H16" s="107"/>
      <c r="I16" s="99"/>
      <c r="J16" s="66"/>
    </row>
    <row r="17" ht="15.95" customHeight="1" spans="1:10">
      <c r="A17" s="61"/>
      <c r="B17" s="42">
        <v>4500028983</v>
      </c>
      <c r="C17" s="44" t="s">
        <v>24</v>
      </c>
      <c r="D17" s="44" t="s">
        <v>25</v>
      </c>
      <c r="E17" s="106">
        <v>32.8</v>
      </c>
      <c r="F17" s="45">
        <v>96</v>
      </c>
      <c r="G17" s="53" t="s">
        <v>26</v>
      </c>
      <c r="H17" s="107">
        <f t="shared" ref="H17:H23" si="0">E17*F17</f>
        <v>3148.8</v>
      </c>
      <c r="I17" s="99"/>
      <c r="J17" s="66"/>
    </row>
    <row r="18" ht="24" customHeight="1" spans="1:10">
      <c r="A18" s="61"/>
      <c r="B18" s="42">
        <v>4500028983</v>
      </c>
      <c r="C18" s="44" t="s">
        <v>27</v>
      </c>
      <c r="D18" s="44" t="s">
        <v>28</v>
      </c>
      <c r="E18" s="106">
        <v>33.1</v>
      </c>
      <c r="F18" s="45">
        <v>262</v>
      </c>
      <c r="G18" s="53" t="s">
        <v>26</v>
      </c>
      <c r="H18" s="107">
        <f t="shared" si="0"/>
        <v>8672.2</v>
      </c>
      <c r="I18" s="99"/>
      <c r="J18" s="66"/>
    </row>
    <row r="19" ht="15.95" customHeight="1" spans="1:10">
      <c r="A19" s="61"/>
      <c r="B19" s="42">
        <v>4500028983</v>
      </c>
      <c r="C19" s="44" t="s">
        <v>29</v>
      </c>
      <c r="D19" s="44" t="s">
        <v>30</v>
      </c>
      <c r="E19" s="106">
        <v>34.4</v>
      </c>
      <c r="F19" s="45">
        <v>292</v>
      </c>
      <c r="G19" s="53" t="s">
        <v>26</v>
      </c>
      <c r="H19" s="107">
        <f t="shared" si="0"/>
        <v>10044.8</v>
      </c>
      <c r="I19" s="99"/>
      <c r="J19" s="66"/>
    </row>
    <row r="20" ht="15.95" customHeight="1" spans="1:10">
      <c r="A20" s="61"/>
      <c r="B20" s="42">
        <v>4500028983</v>
      </c>
      <c r="C20" s="44" t="s">
        <v>31</v>
      </c>
      <c r="D20" s="44" t="s">
        <v>32</v>
      </c>
      <c r="E20" s="106">
        <v>37.9</v>
      </c>
      <c r="F20" s="45">
        <v>132</v>
      </c>
      <c r="G20" s="53" t="s">
        <v>26</v>
      </c>
      <c r="H20" s="107">
        <f t="shared" si="0"/>
        <v>5002.8</v>
      </c>
      <c r="I20" s="99"/>
      <c r="J20" s="66"/>
    </row>
    <row r="21" ht="15.95" customHeight="1" spans="1:10">
      <c r="A21" s="61"/>
      <c r="B21" s="42">
        <v>4500028983</v>
      </c>
      <c r="C21" s="44" t="s">
        <v>33</v>
      </c>
      <c r="D21" s="44" t="s">
        <v>34</v>
      </c>
      <c r="E21" s="106">
        <v>40.4</v>
      </c>
      <c r="F21" s="45">
        <f>252+173</f>
        <v>425</v>
      </c>
      <c r="G21" s="53" t="s">
        <v>26</v>
      </c>
      <c r="H21" s="107">
        <f t="shared" si="0"/>
        <v>17170</v>
      </c>
      <c r="I21" s="99"/>
      <c r="J21" s="66"/>
    </row>
    <row r="22" ht="15.95" customHeight="1" spans="1:10">
      <c r="A22" s="61"/>
      <c r="B22" s="42">
        <v>4500030322</v>
      </c>
      <c r="C22" s="44" t="s">
        <v>24</v>
      </c>
      <c r="D22" s="44" t="s">
        <v>25</v>
      </c>
      <c r="E22" s="106">
        <v>32.8</v>
      </c>
      <c r="F22" s="45">
        <v>16</v>
      </c>
      <c r="G22" s="53" t="s">
        <v>26</v>
      </c>
      <c r="H22" s="107">
        <f t="shared" si="0"/>
        <v>524.8</v>
      </c>
      <c r="I22" s="99"/>
      <c r="J22" s="66"/>
    </row>
    <row r="23" ht="15.95" customHeight="1" spans="1:10">
      <c r="A23" s="61"/>
      <c r="B23" s="42">
        <v>4500030322</v>
      </c>
      <c r="C23" s="44" t="s">
        <v>27</v>
      </c>
      <c r="D23" s="44" t="s">
        <v>28</v>
      </c>
      <c r="E23" s="106">
        <v>33.1</v>
      </c>
      <c r="F23" s="45">
        <v>54</v>
      </c>
      <c r="G23" s="53" t="s">
        <v>26</v>
      </c>
      <c r="H23" s="107">
        <f t="shared" si="0"/>
        <v>1787.4</v>
      </c>
      <c r="I23" s="99"/>
      <c r="J23" s="66"/>
    </row>
    <row r="24" ht="17.6" spans="1:10">
      <c r="A24" s="61"/>
      <c r="B24" s="42"/>
      <c r="C24" s="44"/>
      <c r="D24" s="44"/>
      <c r="E24" s="106"/>
      <c r="F24" s="45"/>
      <c r="G24" s="53"/>
      <c r="H24" s="107"/>
      <c r="I24" s="99"/>
      <c r="J24" s="66"/>
    </row>
    <row r="25" ht="17.6" spans="1:10">
      <c r="A25" s="35"/>
      <c r="B25" s="35"/>
      <c r="C25" s="35"/>
      <c r="D25" s="37"/>
      <c r="E25" s="108"/>
      <c r="F25" s="103"/>
      <c r="G25" s="35"/>
      <c r="H25" s="104"/>
      <c r="I25" s="99"/>
      <c r="J25" s="66"/>
    </row>
    <row r="26" ht="17.6" spans="1:10">
      <c r="A26" s="18" t="s">
        <v>19</v>
      </c>
      <c r="B26" s="18"/>
      <c r="C26" s="61"/>
      <c r="D26" s="62"/>
      <c r="E26" s="86"/>
      <c r="F26" s="109">
        <f>SUM(F16:F25)</f>
        <v>1277</v>
      </c>
      <c r="G26" s="61" t="s">
        <v>26</v>
      </c>
      <c r="H26" s="110">
        <f>SUM(H16:H25)</f>
        <v>46350.8</v>
      </c>
      <c r="I26" s="99"/>
      <c r="J26" s="66"/>
    </row>
    <row r="27" s="75" customFormat="1" ht="21" customHeight="1" spans="1:10">
      <c r="A27" s="18"/>
      <c r="B27" s="18"/>
      <c r="C27" s="18"/>
      <c r="D27" s="100"/>
      <c r="E27" s="86"/>
      <c r="F27" s="87"/>
      <c r="G27" s="61"/>
      <c r="H27" s="111"/>
      <c r="I27" s="99"/>
      <c r="J27" s="66"/>
    </row>
    <row r="28" s="75" customFormat="1" ht="19.2" spans="1:10">
      <c r="A28" s="112" t="s">
        <v>35</v>
      </c>
      <c r="B28" s="112"/>
      <c r="C28" s="86"/>
      <c r="D28" s="100"/>
      <c r="E28" s="86"/>
      <c r="F28" s="87"/>
      <c r="G28" s="61"/>
      <c r="H28" s="94"/>
      <c r="I28" s="95"/>
      <c r="J28" s="66"/>
    </row>
    <row r="29" ht="17.6" spans="1:10">
      <c r="A29" s="61"/>
      <c r="B29" s="61"/>
      <c r="C29" s="61"/>
      <c r="D29" s="62"/>
      <c r="E29" s="86"/>
      <c r="F29" s="87"/>
      <c r="G29" s="61"/>
      <c r="H29" s="94"/>
      <c r="I29" s="94"/>
      <c r="J29" s="97"/>
    </row>
  </sheetData>
  <mergeCells count="3">
    <mergeCell ref="A1:D1"/>
    <mergeCell ref="A2:D3"/>
    <mergeCell ref="F1:I4"/>
  </mergeCells>
  <hyperlinks>
    <hyperlink ref="A8" r:id="rId2" display=" SINGAPORE 415875"/>
  </hyperlinks>
  <pageMargins left="0.75" right="0.75" top="1" bottom="1" header="0.5" footer="0.5"/>
  <pageSetup paperSize="9" scale="72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6"/>
  <sheetViews>
    <sheetView workbookViewId="0">
      <selection activeCell="D11" sqref="D11"/>
    </sheetView>
  </sheetViews>
  <sheetFormatPr defaultColWidth="11" defaultRowHeight="17.6"/>
  <cols>
    <col min="1" max="1" width="4.4375" style="5" customWidth="1"/>
    <col min="2" max="2" width="14.5" style="5" customWidth="1"/>
    <col min="3" max="3" width="10.8482142857143" style="5" customWidth="1"/>
    <col min="4" max="4" width="8.70535714285714" style="5" customWidth="1"/>
    <col min="5" max="5" width="23.375" style="5" customWidth="1"/>
    <col min="6" max="6" width="8.5625" style="5" customWidth="1"/>
    <col min="7" max="7" width="9.33035714285714" style="5" customWidth="1"/>
    <col min="8" max="8" width="8.25" style="5" customWidth="1"/>
    <col min="9" max="9" width="7.64285714285714" style="5" customWidth="1"/>
    <col min="10" max="10" width="6.72321428571429" style="6" customWidth="1"/>
    <col min="11" max="11" width="9" style="6" customWidth="1"/>
    <col min="12" max="12" width="5.1875" style="6" customWidth="1"/>
    <col min="13" max="13" width="7.64285714285714" style="7" customWidth="1"/>
    <col min="14" max="16384" width="11" style="5"/>
  </cols>
  <sheetData>
    <row r="1" s="1" customFormat="1" ht="41" customHeight="1" spans="1:14">
      <c r="A1" s="8" t="s">
        <v>0</v>
      </c>
      <c r="B1" s="8"/>
      <c r="C1" s="8"/>
      <c r="D1" s="8"/>
      <c r="E1" s="9"/>
      <c r="H1" s="10" t="s">
        <v>36</v>
      </c>
      <c r="I1" s="10"/>
      <c r="J1" s="10"/>
      <c r="K1" s="10"/>
      <c r="L1" s="10"/>
      <c r="M1" s="10"/>
    </row>
    <row r="2" s="1" customFormat="1" ht="15" customHeight="1" spans="1:14">
      <c r="A2" s="11" t="s">
        <v>2</v>
      </c>
      <c r="B2" s="12"/>
      <c r="C2" s="12"/>
      <c r="D2" s="12"/>
      <c r="E2" s="13"/>
      <c r="H2" s="10"/>
      <c r="I2" s="10"/>
      <c r="J2" s="10"/>
      <c r="K2" s="10"/>
      <c r="L2" s="10"/>
      <c r="M2" s="10"/>
    </row>
    <row r="3" s="1" customFormat="1" ht="15" customHeight="1" spans="1:14">
      <c r="A3" s="12"/>
      <c r="B3" s="12"/>
      <c r="C3" s="12"/>
      <c r="D3" s="12"/>
      <c r="E3" s="14"/>
      <c r="H3" s="10"/>
      <c r="I3" s="10"/>
      <c r="J3" s="10"/>
      <c r="K3" s="10"/>
      <c r="L3" s="10"/>
      <c r="M3" s="10"/>
    </row>
    <row r="4" s="1" customFormat="1" ht="15" customHeight="1" spans="1:14">
      <c r="A4" s="15"/>
      <c r="B4" s="16"/>
      <c r="C4" s="16"/>
      <c r="D4" s="16"/>
      <c r="E4" s="17"/>
      <c r="H4" s="10"/>
      <c r="I4" s="10"/>
      <c r="J4" s="10"/>
      <c r="K4" s="10"/>
      <c r="L4" s="10"/>
      <c r="M4" s="10"/>
    </row>
    <row r="5" s="2" customFormat="1" ht="16" customHeight="1" spans="1:14">
      <c r="A5" s="18"/>
      <c r="B5" s="19"/>
      <c r="C5" s="20" t="s">
        <v>37</v>
      </c>
      <c r="D5" s="21"/>
      <c r="E5" s="22"/>
      <c r="F5" s="21"/>
      <c r="G5" s="23"/>
      <c r="H5" s="24"/>
      <c r="I5" s="23"/>
      <c r="J5" s="25" t="s">
        <v>38</v>
      </c>
      <c r="K5" s="26"/>
      <c r="L5" s="26"/>
      <c r="M5" s="27" t="s">
        <v>39</v>
      </c>
    </row>
    <row r="6" s="2" customFormat="1" ht="16" customHeight="1" spans="1:14">
      <c r="A6" s="18"/>
      <c r="B6" s="19"/>
      <c r="C6" s="20" t="s">
        <v>40</v>
      </c>
      <c r="D6" s="21"/>
      <c r="E6" s="22"/>
      <c r="F6" s="18"/>
      <c r="G6" s="23"/>
      <c r="H6" s="24"/>
      <c r="I6" s="23"/>
      <c r="J6" s="28"/>
      <c r="K6" s="29"/>
      <c r="L6" s="30"/>
      <c r="M6" s="28"/>
    </row>
    <row r="7" s="2" customFormat="1" ht="16" customHeight="1" spans="1:14">
      <c r="A7" s="18"/>
      <c r="B7" s="19"/>
      <c r="C7" s="18"/>
      <c r="D7" s="31"/>
      <c r="E7" s="32"/>
      <c r="F7" s="30"/>
      <c r="G7" s="33"/>
      <c r="H7" s="34"/>
      <c r="I7" s="28"/>
      <c r="J7" s="34"/>
      <c r="K7" s="29"/>
      <c r="L7" s="34"/>
      <c r="M7" s="28"/>
    </row>
    <row r="8" s="2" customFormat="1" ht="16" customHeight="1" spans="1:14">
      <c r="A8" s="35"/>
      <c r="B8" s="36" t="s">
        <v>41</v>
      </c>
      <c r="C8" s="35" t="s">
        <v>42</v>
      </c>
      <c r="D8" s="35" t="s">
        <v>16</v>
      </c>
      <c r="E8" s="37" t="s">
        <v>43</v>
      </c>
      <c r="F8" s="37"/>
      <c r="G8" s="38" t="s">
        <v>44</v>
      </c>
      <c r="H8" s="38"/>
      <c r="I8" s="39" t="s">
        <v>45</v>
      </c>
      <c r="J8" s="39"/>
      <c r="K8" s="39" t="s">
        <v>46</v>
      </c>
      <c r="L8" s="39"/>
      <c r="M8" s="28" t="s">
        <v>47</v>
      </c>
    </row>
    <row r="9" s="2" customFormat="1" ht="16" customHeight="1" spans="1:14">
      <c r="A9" s="28"/>
      <c r="B9" s="22"/>
      <c r="C9" s="40"/>
      <c r="D9" s="28"/>
      <c r="E9" s="41"/>
      <c r="F9" s="34"/>
      <c r="G9" s="33"/>
      <c r="H9" s="34"/>
      <c r="I9" s="28"/>
      <c r="J9" s="34"/>
      <c r="K9" s="29"/>
      <c r="L9" s="34"/>
      <c r="M9" s="28"/>
    </row>
    <row r="10" s="2" customFormat="1" ht="16" customHeight="1" spans="1:14">
      <c r="A10" s="28"/>
      <c r="B10" s="42"/>
      <c r="C10" s="43" t="s">
        <v>23</v>
      </c>
      <c r="D10" s="44"/>
      <c r="E10" s="45"/>
      <c r="F10" s="45"/>
      <c r="G10" s="46"/>
      <c r="H10" s="45"/>
      <c r="I10" s="47"/>
      <c r="J10" s="45"/>
      <c r="K10" s="47"/>
      <c r="L10" s="45"/>
      <c r="M10" s="28"/>
    </row>
    <row r="11" s="2" customFormat="1" ht="41" customHeight="1" spans="1:14">
      <c r="A11" s="28"/>
      <c r="B11" s="48" t="s">
        <v>48</v>
      </c>
      <c r="C11" s="49" t="s">
        <v>49</v>
      </c>
      <c r="D11" s="50" t="s">
        <v>50</v>
      </c>
      <c r="E11" s="51" t="s">
        <v>51</v>
      </c>
      <c r="F11" s="45"/>
      <c r="G11" s="51" t="s">
        <v>52</v>
      </c>
      <c r="H11" s="52" t="s">
        <v>53</v>
      </c>
      <c r="I11" s="51" t="s">
        <v>54</v>
      </c>
      <c r="J11" s="52" t="s">
        <v>53</v>
      </c>
      <c r="K11" s="51" t="s">
        <v>55</v>
      </c>
      <c r="L11" s="52" t="s">
        <v>53</v>
      </c>
      <c r="M11" s="51" t="s">
        <v>56</v>
      </c>
    </row>
    <row r="12" s="2" customFormat="1" ht="16" customHeight="1" spans="1:14">
      <c r="A12" s="28"/>
      <c r="B12" s="42">
        <v>4500028983</v>
      </c>
      <c r="C12" s="44" t="s">
        <v>24</v>
      </c>
      <c r="D12" s="44" t="s">
        <v>25</v>
      </c>
      <c r="E12" s="53">
        <v>96</v>
      </c>
      <c r="F12" s="53" t="s">
        <v>26</v>
      </c>
      <c r="G12" s="46">
        <f>38.59+3</f>
        <v>41.59</v>
      </c>
      <c r="H12" s="53" t="s">
        <v>57</v>
      </c>
      <c r="I12" s="47">
        <f>45.4+3.3</f>
        <v>48.7</v>
      </c>
      <c r="J12" s="53" t="s">
        <v>57</v>
      </c>
      <c r="K12" s="47">
        <v>0.31</v>
      </c>
      <c r="L12" s="53" t="s">
        <v>58</v>
      </c>
      <c r="M12" s="53">
        <v>6</v>
      </c>
    </row>
    <row r="13" s="3" customFormat="1" ht="16" customHeight="1" spans="1:14">
      <c r="A13" s="28"/>
      <c r="B13" s="42">
        <v>4500028983</v>
      </c>
      <c r="C13" s="44" t="s">
        <v>27</v>
      </c>
      <c r="D13" s="44" t="s">
        <v>28</v>
      </c>
      <c r="E13" s="53">
        <v>262</v>
      </c>
      <c r="F13" s="53" t="s">
        <v>26</v>
      </c>
      <c r="G13" s="46">
        <v>117.67</v>
      </c>
      <c r="H13" s="53" t="s">
        <v>57</v>
      </c>
      <c r="I13" s="46">
        <v>138.43</v>
      </c>
      <c r="J13" s="53" t="s">
        <v>57</v>
      </c>
      <c r="K13" s="47">
        <v>0.78</v>
      </c>
      <c r="L13" s="53" t="s">
        <v>58</v>
      </c>
      <c r="M13" s="53">
        <v>15</v>
      </c>
      <c r="N13" s="2"/>
    </row>
    <row r="14" s="3" customFormat="1" ht="16" customHeight="1" spans="1:14">
      <c r="A14" s="28"/>
      <c r="B14" s="42">
        <v>4500028983</v>
      </c>
      <c r="C14" s="44" t="s">
        <v>29</v>
      </c>
      <c r="D14" s="44" t="s">
        <v>30</v>
      </c>
      <c r="E14" s="53">
        <v>292</v>
      </c>
      <c r="F14" s="53" t="s">
        <v>26</v>
      </c>
      <c r="G14" s="46">
        <f>136.41+2.01</f>
        <v>138.42</v>
      </c>
      <c r="H14" s="53" t="s">
        <v>57</v>
      </c>
      <c r="I14" s="46">
        <f>160.48+2.6</f>
        <v>163.08</v>
      </c>
      <c r="J14" s="53" t="s">
        <v>57</v>
      </c>
      <c r="K14" s="47">
        <v>0.83</v>
      </c>
      <c r="L14" s="53" t="s">
        <v>58</v>
      </c>
      <c r="M14" s="53">
        <v>16</v>
      </c>
      <c r="N14" s="2"/>
    </row>
    <row r="15" s="3" customFormat="1" ht="16" customHeight="1" spans="1:14">
      <c r="A15" s="28"/>
      <c r="B15" s="42">
        <v>4500028983</v>
      </c>
      <c r="C15" s="44" t="s">
        <v>31</v>
      </c>
      <c r="D15" s="44" t="s">
        <v>32</v>
      </c>
      <c r="E15" s="53">
        <v>132</v>
      </c>
      <c r="F15" s="53" t="s">
        <v>26</v>
      </c>
      <c r="G15" s="46">
        <v>101.35</v>
      </c>
      <c r="H15" s="53" t="s">
        <v>57</v>
      </c>
      <c r="I15" s="46">
        <v>119.24</v>
      </c>
      <c r="J15" s="53" t="s">
        <v>57</v>
      </c>
      <c r="K15" s="47">
        <v>0.58</v>
      </c>
      <c r="L15" s="53" t="s">
        <v>58</v>
      </c>
      <c r="M15" s="53">
        <v>11</v>
      </c>
      <c r="N15" s="2"/>
    </row>
    <row r="16" s="3" customFormat="1" ht="16" customHeight="1" spans="1:14">
      <c r="A16" s="28"/>
      <c r="B16" s="42">
        <v>4500028983</v>
      </c>
      <c r="C16" s="44" t="s">
        <v>33</v>
      </c>
      <c r="D16" s="44" t="s">
        <v>34</v>
      </c>
      <c r="E16" s="53">
        <v>425</v>
      </c>
      <c r="F16" s="53" t="s">
        <v>26</v>
      </c>
      <c r="G16" s="46">
        <f>245.62+175.44</f>
        <v>421.06</v>
      </c>
      <c r="H16" s="53" t="s">
        <v>57</v>
      </c>
      <c r="I16" s="47">
        <f>288.96+206.4</f>
        <v>495.36</v>
      </c>
      <c r="J16" s="53" t="s">
        <v>57</v>
      </c>
      <c r="K16" s="47">
        <f>1.55+1.11</f>
        <v>2.66</v>
      </c>
      <c r="L16" s="53" t="s">
        <v>58</v>
      </c>
      <c r="M16" s="53">
        <v>36</v>
      </c>
      <c r="N16" s="2"/>
    </row>
    <row r="17" s="2" customFormat="1" ht="16" customHeight="1" spans="1:15">
      <c r="A17" s="28"/>
      <c r="B17" s="42">
        <v>4500030322</v>
      </c>
      <c r="C17" s="44" t="s">
        <v>24</v>
      </c>
      <c r="D17" s="44" t="s">
        <v>25</v>
      </c>
      <c r="E17" s="53">
        <v>16</v>
      </c>
      <c r="F17" s="53" t="s">
        <v>26</v>
      </c>
      <c r="G17" s="46">
        <v>6.77</v>
      </c>
      <c r="H17" s="53" t="s">
        <v>57</v>
      </c>
      <c r="I17" s="46">
        <v>7.96</v>
      </c>
      <c r="J17" s="53" t="s">
        <v>57</v>
      </c>
      <c r="K17" s="47">
        <v>0.05</v>
      </c>
      <c r="L17" s="53" t="s">
        <v>58</v>
      </c>
      <c r="M17" s="53">
        <v>1</v>
      </c>
    </row>
    <row r="18" s="2" customFormat="1" ht="16" customHeight="1" spans="1:15">
      <c r="A18" s="28"/>
      <c r="B18" s="42">
        <v>4500030322</v>
      </c>
      <c r="C18" s="44" t="s">
        <v>27</v>
      </c>
      <c r="D18" s="44" t="s">
        <v>28</v>
      </c>
      <c r="E18" s="53">
        <v>54</v>
      </c>
      <c r="F18" s="53" t="s">
        <v>26</v>
      </c>
      <c r="G18" s="46">
        <v>24.17</v>
      </c>
      <c r="H18" s="53" t="s">
        <v>57</v>
      </c>
      <c r="I18" s="46">
        <v>28.44</v>
      </c>
      <c r="J18" s="53" t="s">
        <v>57</v>
      </c>
      <c r="K18" s="47">
        <v>0.16</v>
      </c>
      <c r="L18" s="53" t="s">
        <v>58</v>
      </c>
      <c r="M18" s="53">
        <v>3</v>
      </c>
    </row>
    <row r="19" s="4" customFormat="1" ht="16" customHeight="1" spans="1:15">
      <c r="A19" s="54"/>
      <c r="B19" s="55"/>
      <c r="C19" s="54"/>
      <c r="D19" s="54"/>
      <c r="E19" s="55"/>
      <c r="F19" s="56"/>
      <c r="G19" s="57"/>
      <c r="H19" s="58"/>
      <c r="I19" s="54"/>
      <c r="J19" s="59"/>
      <c r="K19" s="60"/>
      <c r="L19" s="56"/>
      <c r="M19" s="28"/>
    </row>
    <row r="20" ht="16" customHeight="1" spans="1:15">
      <c r="A20" s="61" t="s">
        <v>59</v>
      </c>
      <c r="B20" s="32"/>
      <c r="C20" s="61"/>
      <c r="D20" s="23"/>
      <c r="E20" s="41">
        <f>SUM(E10:E19)</f>
        <v>1277</v>
      </c>
      <c r="F20" s="62" t="s">
        <v>26</v>
      </c>
      <c r="G20" s="47">
        <f>SUM(G10:G19)</f>
        <v>851.03</v>
      </c>
      <c r="H20" s="63" t="s">
        <v>57</v>
      </c>
      <c r="I20" s="63">
        <f>SUM(I10:I19)</f>
        <v>1001.21</v>
      </c>
      <c r="J20" s="63" t="s">
        <v>57</v>
      </c>
      <c r="K20" s="63">
        <f>SUM(K10:K19)</f>
        <v>5.37</v>
      </c>
      <c r="L20" s="62" t="s">
        <v>58</v>
      </c>
      <c r="M20" s="63">
        <f>SUM(M10:M19)</f>
        <v>88</v>
      </c>
    </row>
    <row r="21" s="2" customFormat="1" ht="16" customHeight="1" spans="1:15">
      <c r="A21" s="64"/>
      <c r="B21" s="65"/>
      <c r="C21" s="64"/>
      <c r="D21" s="66"/>
      <c r="E21" s="67"/>
      <c r="F21" s="68"/>
      <c r="G21" s="69"/>
      <c r="H21" s="64"/>
      <c r="I21" s="66"/>
      <c r="J21" s="64"/>
      <c r="K21" s="70"/>
      <c r="L21" s="64"/>
      <c r="M21" s="66"/>
      <c r="O21" s="71"/>
    </row>
    <row r="22" s="2" customFormat="1" ht="16" customHeight="1" spans="1:15">
      <c r="A22" s="64"/>
      <c r="B22" s="65"/>
      <c r="C22" s="64"/>
      <c r="D22" s="66"/>
      <c r="E22" s="67"/>
      <c r="F22" s="68"/>
      <c r="G22" s="69"/>
      <c r="H22" s="64"/>
      <c r="I22" s="66"/>
      <c r="J22" s="64"/>
      <c r="K22" s="70"/>
      <c r="L22" s="64"/>
      <c r="M22" s="66"/>
    </row>
    <row r="25" spans="1:15">
      <c r="I25" s="6"/>
    </row>
    <row r="26" spans="1:15">
      <c r="I26" s="6"/>
    </row>
  </sheetData>
  <mergeCells count="6">
    <mergeCell ref="K5:L5"/>
    <mergeCell ref="E8:F8"/>
    <mergeCell ref="G8:H8"/>
    <mergeCell ref="I8:J8"/>
    <mergeCell ref="K8:L8"/>
    <mergeCell ref="H1:M4"/>
  </mergeCells>
  <printOptions horizontalCentered="1"/>
  <pageMargins left="0" right="0" top="0.196527777777778" bottom="0.196527777777778" header="0.511111111111111" footer="0.511111111111111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www.ftpdown.com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</vt:lpstr>
      <vt:lpstr>PL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tony</cp:lastModifiedBy>
  <dcterms:created xsi:type="dcterms:W3CDTF">2014-04-21T13:59:00Z</dcterms:created>
  <cp:lastPrinted>2023-02-14T11:35:00Z</cp:lastPrinted>
  <dcterms:modified xsi:type="dcterms:W3CDTF">2026-06-09T15:40:10Z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EA74DF2B0D75491CA08D50E0737EB4EB_13</vt:lpwstr>
  </property>
  <property fmtid="{D5CDD505-2E9C-101B-9397-08002B2CF9AE}" pid="4" name="CalculationRule">
    <vt:i4>0</vt:i4>
  </property>
</Properties>
</file>