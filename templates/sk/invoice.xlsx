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50"/>
  </bookViews>
  <sheets>
    <sheet name="PF Standard Invoice format" sheetId="1" r:id="rId1"/>
  </sheets>
  <definedNames>
    <definedName name="_xlnm.Print_Area" localSheetId="0">'PF Standard Invoice format'!$A$1:$H$25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<sst xmlns="http://schemas.openxmlformats.org/spreadsheetml/2006/main" count="66" uniqueCount="49">
  <si>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GUANGDONG GLOBALSINO OUTDOOR SPORTS EQUIPMENT LIMITED</t>
  </si>
  <si>
    <t>NO.40 BAIJIA STREET HIGH-TECH INDUSTRIAL DEVELOPMENT ZONE QINGYUAN 511500, GUANGDONG CHINA</t>
  </si>
  <si>
    <t>INVOICE</t>
  </si>
  <si>
    <t>TO:GLOBALSINO PTE.LTD.</t>
  </si>
  <si>
    <t>固定值</t>
  </si>
  <si>
    <t>INVOICE #:</t>
  </si>
  <si>
    <t>2301-202511200002</t>
  </si>
  <si>
    <t>PO record“EMAX-RO ”</t>
  </si>
  <si>
    <t>10 KAKI BUKIT ROAD 2, #01-37, FIRST EAST CENTRE,</t>
  </si>
  <si>
    <t xml:space="preserve">DATE: </t>
  </si>
  <si>
    <t>生成日期</t>
  </si>
  <si>
    <t xml:space="preserve"> SINGAPORE 417868</t>
  </si>
  <si>
    <t xml:space="preserve">TERM: </t>
  </si>
  <si>
    <t>T/T 75 DAYS AFTER BL DATE</t>
  </si>
  <si>
    <t>Shipped per ss/mv</t>
  </si>
  <si>
    <t>From:GUANGDONG,CHINA</t>
  </si>
  <si>
    <t>To:KANSAS CITY, MO,USA</t>
  </si>
  <si>
    <t>手动更新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</si>
  <si>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</si>
  <si>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</si>
  <si>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</si>
  <si>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</si>
  <si>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</si>
  <si>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</si>
  <si>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</si>
  <si>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</si>
  <si>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</si>
  <si>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括号内数值手动更新</t>
  </si>
  <si>
    <t>FISHING REELS (1277PCS,$46,350.8)</t>
  </si>
  <si>
    <r>
      <rPr>
        <sz val="9"/>
        <color rgb="FF00B0F0"/>
        <rFont val="Arial"/>
        <charset val="0"/>
      </rPr>
      <t>RO new PO template A</t>
    </r>
    <r>
      <rPr>
        <sz val="9"/>
        <color indexed="40"/>
        <rFont val="宋体"/>
        <charset val="134"/>
      </rPr>
      <t>列</t>
    </r>
    <r>
      <rPr>
        <sz val="9"/>
        <color rgb="FF00B0F0"/>
        <rFont val="Arial"/>
        <charset val="0"/>
      </rPr>
      <t>"Purchasing Document"</t>
    </r>
  </si>
  <si>
    <r>
      <t>RO new PO template J</t>
    </r>
    <r>
      <rPr>
        <sz val="9"/>
        <color rgb="FF00CCFF"/>
        <rFont val="宋体"/>
        <charset val="0"/>
      </rPr>
      <t>列</t>
    </r>
    <r>
      <rPr>
        <sz val="9"/>
        <color rgb="FF00B0F0"/>
        <rFont val="Arial"/>
        <charset val="0"/>
      </rPr>
      <t>"Model",</t>
    </r>
    <r>
      <rPr>
        <sz val="9"/>
        <color rgb="FFFF0000"/>
        <rFont val="Arial"/>
        <charset val="0"/>
      </rPr>
      <t xml:space="preserve"> </t>
    </r>
  </si>
  <si>
    <r>
      <rPr>
        <sz val="9"/>
        <color rgb="FF00B0F0"/>
        <rFont val="Arial"/>
        <charset val="0"/>
      </rPr>
      <t>RO new PO template I</t>
    </r>
    <r>
      <rPr>
        <sz val="9"/>
        <color indexed="40"/>
        <rFont val="宋体"/>
        <charset val="134"/>
      </rPr>
      <t>列</t>
    </r>
    <r>
      <rPr>
        <sz val="9"/>
        <color rgb="FF00B0F0"/>
        <rFont val="Arial"/>
        <charset val="0"/>
      </rPr>
      <t>"Material"</t>
    </r>
  </si>
  <si>
    <r>
      <rPr>
        <sz val="9"/>
        <color rgb="FF00B0F0"/>
        <rFont val="Arial"/>
        <charset val="0"/>
      </rPr>
      <t>data base M,N,O</t>
    </r>
    <r>
      <rPr>
        <sz val="9"/>
        <color indexed="40"/>
        <rFont val="宋体"/>
        <charset val="134"/>
      </rPr>
      <t>列</t>
    </r>
  </si>
  <si>
    <t>PO record</t>
  </si>
  <si>
    <t>CB2500.B2</t>
  </si>
  <si>
    <t>21-44640</t>
  </si>
  <si>
    <t>PCS</t>
  </si>
  <si>
    <t>CB3000.B2</t>
  </si>
  <si>
    <t>21-44641</t>
  </si>
  <si>
    <t>CB4000.B2</t>
  </si>
  <si>
    <t>21-44642</t>
  </si>
  <si>
    <t>CB6000.B2</t>
  </si>
  <si>
    <t>21-44644</t>
  </si>
  <si>
    <t>CB8000.B2</t>
  </si>
  <si>
    <t>21-44645</t>
  </si>
  <si>
    <t>ORIGIN IN CHINA</t>
  </si>
  <si>
    <t>PACKED IN 88 CTNS</t>
  </si>
  <si>
    <r>
      <t>箱数取自</t>
    </r>
    <r>
      <rPr>
        <sz val="12"/>
        <rFont val="Times New Roman"/>
        <charset val="0"/>
      </rPr>
      <t>PL</t>
    </r>
  </si>
  <si>
    <t>THERE IS NO SOLID WOOD PACKING MATERIAL IN THIS SHIPMENT.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</si>
</sst>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_(&quot;$&quot;* #,##0.00_);_(&quot;$&quot;* \(#,##0.00\);_(&quot;$&quot;* &quot;-&quot;??_);_(@_)"/>
    <numFmt numFmtId="178" formatCode="&quot;\&quot;#,##0;&quot;\&quot;&quot;\&quot;&quot;\&quot;&quot;\&quot;\-#,##0"/>
    <numFmt numFmtId="179" formatCode="_(* #,##0_);_(* \(#,##0\);_(* &quot;-&quot;_);_(@_)"/>
    <numFmt numFmtId="180" formatCode="&quot;\&quot;#,##0;[Red]&quot;\&quot;&quot;\&quot;\-#,##0"/>
    <numFmt numFmtId="181" formatCode="&quot;\&quot;#,##0.00;[Red]&quot;\&quot;&quot;\&quot;&quot;\&quot;&quot;\&quot;&quot;\&quot;&quot;\&quot;\-#,##0.00"/>
    <numFmt numFmtId="182" formatCode="&quot;\&quot;#,##0;[Red]&quot;\&quot;\-#,##0"/>
    <numFmt numFmtId="183" formatCode="0_);[Red]\(0\)"/>
    <numFmt numFmtId="184" formatCode="[$-409]d/mmm/yy;@"/>
    <numFmt numFmtId="185" formatCode="yyyy/m/d;@"/>
    <numFmt numFmtId="186" formatCode="0.00_ "/>
    <numFmt numFmtId="187" formatCode="0_);\(0\)"/>
    <numFmt numFmtId="188" formatCode="\$#,##0.00;\-\$#,##0.00"/>
  </numFmts>
  <fonts count="77">
    <font>
      <sz val="12"/>
      <name val="宋体"/>
      <charset val="134"/>
    </font>
    <font>
      <sz val="9"/>
      <color theme="1"/>
      <name val="Arial"/>
      <charset val="134"/>
    </font>
    <font>
      <b/>
      <sz val="20"/>
      <color theme="1"/>
      <name val="Arial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sz val="12"/>
      <name val="Times New Roman"/>
      <charset val="0"/>
    </font>
    <font>
      <sz val="12"/>
      <color rgb="FF00B0F0"/>
      <name val="宋体"/>
      <charset val="134"/>
    </font>
    <font>
      <sz val="9"/>
      <color rgb="FF00B0F0"/>
      <name val="Arial"/>
      <charset val="0"/>
    </font>
    <font>
      <u/>
      <sz val="12"/>
      <name val="Times New Roman"/>
      <charset val="0"/>
    </font>
    <font>
      <sz val="12"/>
      <color rgb="FFFF0000"/>
      <name val="宋体"/>
      <charset val="134"/>
    </font>
    <font>
      <b/>
      <sz val="12"/>
      <name val="Times New Roman"/>
      <charset val="0"/>
    </font>
    <font>
      <sz val="12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color indexed="8"/>
      <name val="新細明體"/>
      <charset val="136"/>
    </font>
    <font>
      <sz val="11"/>
      <color indexed="8"/>
      <name val="宋体"/>
      <charset val="134"/>
    </font>
    <font>
      <b/>
      <sz val="15"/>
      <color indexed="62"/>
      <name val="新細明體"/>
      <charset val="136"/>
    </font>
    <font>
      <sz val="12"/>
      <name val="新細明體"/>
      <charset val="136"/>
    </font>
    <font>
      <sz val="12"/>
      <color indexed="9"/>
      <name val="新細明體"/>
      <charset val="136"/>
    </font>
    <font>
      <sz val="11"/>
      <color indexed="9"/>
      <name val="宋体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10"/>
      <name val="Frugal Sans"/>
      <charset val="134"/>
    </font>
    <font>
      <sz val="12"/>
      <color indexed="19"/>
      <name val="新細明體"/>
      <charset val="136"/>
    </font>
    <font>
      <sz val="12"/>
      <color indexed="10"/>
      <name val="新細明體"/>
      <charset val="136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name val="ＭＳ Ｐゴシック"/>
      <charset val="128"/>
    </font>
    <font>
      <sz val="11"/>
      <color indexed="8"/>
      <name val="ＭＳ Ｐゴシック"/>
      <charset val="128"/>
    </font>
    <font>
      <sz val="11"/>
      <color indexed="20"/>
      <name val="宋体"/>
      <charset val="134"/>
    </font>
    <font>
      <sz val="12"/>
      <color indexed="17"/>
      <name val="新細明體"/>
      <charset val="136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10"/>
      <name val="新細明體"/>
      <charset val="136"/>
    </font>
    <font>
      <b/>
      <sz val="11"/>
      <color indexed="9"/>
      <name val="宋体"/>
      <charset val="134"/>
    </font>
    <font>
      <b/>
      <sz val="12"/>
      <color indexed="9"/>
      <name val="新細明體"/>
      <charset val="136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name val="Courier"/>
      <charset val="134"/>
    </font>
    <font>
      <sz val="12"/>
      <name val="뼻뮝"/>
      <charset val="134"/>
    </font>
    <font>
      <sz val="10"/>
      <name val="굴림체"/>
      <charset val="129"/>
    </font>
    <font>
      <sz val="9"/>
      <color indexed="40"/>
      <name val="宋体"/>
      <charset val="134"/>
    </font>
    <font>
      <sz val="9"/>
      <color rgb="FF00CCFF"/>
      <name val="宋体"/>
      <charset val="0"/>
    </font>
    <font>
      <sz val="9"/>
      <color rgb="FFFF0000"/>
      <name val="Arial"/>
      <charset val="0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057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176" fontId="33" fillId="37" borderId="0" applyNumberFormat="0" applyBorder="0" applyAlignment="0" applyProtection="0">
      <alignment vertical="center"/>
    </xf>
    <xf numFmtId="176" fontId="33" fillId="37" borderId="0" applyNumberFormat="0" applyBorder="0" applyAlignment="0" applyProtection="0">
      <alignment vertical="center"/>
    </xf>
    <xf numFmtId="176" fontId="33" fillId="37" borderId="0" applyNumberFormat="0" applyBorder="0" applyAlignment="0" applyProtection="0">
      <alignment vertical="center"/>
    </xf>
    <xf numFmtId="176" fontId="33" fillId="37" borderId="0" applyNumberFormat="0" applyBorder="0" applyAlignment="0" applyProtection="0">
      <alignment vertical="center"/>
    </xf>
    <xf numFmtId="176" fontId="33" fillId="37" borderId="0" applyNumberFormat="0" applyBorder="0" applyAlignment="0" applyProtection="0">
      <alignment vertical="center"/>
    </xf>
    <xf numFmtId="176" fontId="33" fillId="37" borderId="0" applyNumberFormat="0" applyBorder="0" applyAlignment="0" applyProtection="0">
      <alignment vertical="center"/>
    </xf>
    <xf numFmtId="176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4" fillId="39" borderId="0" applyNumberFormat="0" applyBorder="0" applyAlignment="0" applyProtection="0">
      <alignment vertical="center"/>
    </xf>
    <xf numFmtId="176" fontId="34" fillId="39" borderId="0" applyNumberFormat="0" applyBorder="0" applyAlignment="0" applyProtection="0">
      <alignment vertical="center"/>
    </xf>
    <xf numFmtId="176" fontId="34" fillId="39" borderId="0" applyNumberFormat="0" applyBorder="0" applyAlignment="0" applyProtection="0">
      <alignment vertical="center"/>
    </xf>
    <xf numFmtId="176" fontId="34" fillId="39" borderId="0" applyNumberFormat="0" applyBorder="0" applyAlignment="0" applyProtection="0">
      <alignment vertical="center"/>
    </xf>
    <xf numFmtId="176" fontId="34" fillId="39" borderId="0" applyNumberFormat="0" applyBorder="0" applyAlignment="0" applyProtection="0">
      <alignment vertical="center"/>
    </xf>
    <xf numFmtId="176" fontId="34" fillId="39" borderId="0" applyNumberFormat="0" applyBorder="0" applyAlignment="0" applyProtection="0">
      <alignment vertical="center"/>
    </xf>
    <xf numFmtId="176" fontId="34" fillId="39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0" borderId="0" applyNumberFormat="0" applyBorder="0" applyAlignment="0" applyProtection="0">
      <alignment vertical="center"/>
    </xf>
    <xf numFmtId="176" fontId="34" fillId="41" borderId="0" applyNumberFormat="0" applyBorder="0" applyAlignment="0" applyProtection="0">
      <alignment vertical="center"/>
    </xf>
    <xf numFmtId="176" fontId="34" fillId="41" borderId="0" applyNumberFormat="0" applyBorder="0" applyAlignment="0" applyProtection="0">
      <alignment vertical="center"/>
    </xf>
    <xf numFmtId="176" fontId="34" fillId="41" borderId="0" applyNumberFormat="0" applyBorder="0" applyAlignment="0" applyProtection="0">
      <alignment vertical="center"/>
    </xf>
    <xf numFmtId="176" fontId="34" fillId="41" borderId="0" applyNumberFormat="0" applyBorder="0" applyAlignment="0" applyProtection="0">
      <alignment vertical="center"/>
    </xf>
    <xf numFmtId="176" fontId="34" fillId="41" borderId="0" applyNumberFormat="0" applyBorder="0" applyAlignment="0" applyProtection="0">
      <alignment vertical="center"/>
    </xf>
    <xf numFmtId="176" fontId="34" fillId="41" borderId="0" applyNumberFormat="0" applyBorder="0" applyAlignment="0" applyProtection="0">
      <alignment vertical="center"/>
    </xf>
    <xf numFmtId="176" fontId="34" fillId="41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8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176" fontId="34" fillId="37" borderId="0" applyNumberFormat="0" applyBorder="0" applyAlignment="0" applyProtection="0">
      <alignment vertical="center"/>
    </xf>
    <xf numFmtId="0" fontId="35" fillId="0" borderId="0"/>
    <xf numFmtId="0" fontId="0" fillId="0" borderId="0"/>
    <xf numFmtId="0" fontId="35" fillId="0" borderId="0"/>
    <xf numFmtId="0" fontId="35" fillId="0" borderId="0"/>
    <xf numFmtId="176" fontId="32" fillId="0" borderId="0"/>
    <xf numFmtId="0" fontId="36" fillId="0" borderId="0">
      <alignment vertical="center"/>
    </xf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36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0" fontId="0" fillId="0" borderId="0"/>
    <xf numFmtId="0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176" fontId="33" fillId="43" borderId="0" applyNumberFormat="0" applyBorder="0" applyAlignment="0" applyProtection="0">
      <alignment vertical="center"/>
    </xf>
    <xf numFmtId="176" fontId="33" fillId="43" borderId="0" applyNumberFormat="0" applyBorder="0" applyAlignment="0" applyProtection="0">
      <alignment vertical="center"/>
    </xf>
    <xf numFmtId="176" fontId="33" fillId="43" borderId="0" applyNumberFormat="0" applyBorder="0" applyAlignment="0" applyProtection="0">
      <alignment vertical="center"/>
    </xf>
    <xf numFmtId="176" fontId="33" fillId="43" borderId="0" applyNumberFormat="0" applyBorder="0" applyAlignment="0" applyProtection="0">
      <alignment vertical="center"/>
    </xf>
    <xf numFmtId="176" fontId="33" fillId="43" borderId="0" applyNumberFormat="0" applyBorder="0" applyAlignment="0" applyProtection="0">
      <alignment vertical="center"/>
    </xf>
    <xf numFmtId="176" fontId="33" fillId="43" borderId="0" applyNumberFormat="0" applyBorder="0" applyAlignment="0" applyProtection="0">
      <alignment vertical="center"/>
    </xf>
    <xf numFmtId="176" fontId="33" fillId="43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176" fontId="33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3" fillId="36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35" borderId="0" applyNumberFormat="0" applyBorder="0" applyAlignment="0" applyProtection="0">
      <alignment vertical="center"/>
    </xf>
    <xf numFmtId="176" fontId="34" fillId="44" borderId="0" applyNumberFormat="0" applyBorder="0" applyAlignment="0" applyProtection="0">
      <alignment vertical="center"/>
    </xf>
    <xf numFmtId="176" fontId="34" fillId="44" borderId="0" applyNumberFormat="0" applyBorder="0" applyAlignment="0" applyProtection="0">
      <alignment vertical="center"/>
    </xf>
    <xf numFmtId="176" fontId="34" fillId="44" borderId="0" applyNumberFormat="0" applyBorder="0" applyAlignment="0" applyProtection="0">
      <alignment vertical="center"/>
    </xf>
    <xf numFmtId="176" fontId="34" fillId="44" borderId="0" applyNumberFormat="0" applyBorder="0" applyAlignment="0" applyProtection="0">
      <alignment vertical="center"/>
    </xf>
    <xf numFmtId="176" fontId="34" fillId="44" borderId="0" applyNumberFormat="0" applyBorder="0" applyAlignment="0" applyProtection="0">
      <alignment vertical="center"/>
    </xf>
    <xf numFmtId="176" fontId="34" fillId="44" borderId="0" applyNumberFormat="0" applyBorder="0" applyAlignment="0" applyProtection="0">
      <alignment vertical="center"/>
    </xf>
    <xf numFmtId="176" fontId="34" fillId="44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42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34" borderId="0" applyNumberFormat="0" applyBorder="0" applyAlignment="0" applyProtection="0">
      <alignment vertical="center"/>
    </xf>
    <xf numFmtId="176" fontId="34" fillId="45" borderId="0" applyNumberFormat="0" applyBorder="0" applyAlignment="0" applyProtection="0">
      <alignment vertical="center"/>
    </xf>
    <xf numFmtId="176" fontId="34" fillId="45" borderId="0" applyNumberFormat="0" applyBorder="0" applyAlignment="0" applyProtection="0">
      <alignment vertical="center"/>
    </xf>
    <xf numFmtId="176" fontId="34" fillId="45" borderId="0" applyNumberFormat="0" applyBorder="0" applyAlignment="0" applyProtection="0">
      <alignment vertical="center"/>
    </xf>
    <xf numFmtId="176" fontId="34" fillId="45" borderId="0" applyNumberFormat="0" applyBorder="0" applyAlignment="0" applyProtection="0">
      <alignment vertical="center"/>
    </xf>
    <xf numFmtId="176" fontId="34" fillId="45" borderId="0" applyNumberFormat="0" applyBorder="0" applyAlignment="0" applyProtection="0">
      <alignment vertical="center"/>
    </xf>
    <xf numFmtId="176" fontId="34" fillId="45" borderId="0" applyNumberFormat="0" applyBorder="0" applyAlignment="0" applyProtection="0">
      <alignment vertical="center"/>
    </xf>
    <xf numFmtId="176" fontId="34" fillId="45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176" fontId="37" fillId="38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176" fontId="37" fillId="35" borderId="0" applyNumberFormat="0" applyBorder="0" applyAlignment="0" applyProtection="0">
      <alignment vertical="center"/>
    </xf>
    <xf numFmtId="176" fontId="37" fillId="35" borderId="0" applyNumberFormat="0" applyBorder="0" applyAlignment="0" applyProtection="0">
      <alignment vertical="center"/>
    </xf>
    <xf numFmtId="176" fontId="37" fillId="35" borderId="0" applyNumberFormat="0" applyBorder="0" applyAlignment="0" applyProtection="0">
      <alignment vertical="center"/>
    </xf>
    <xf numFmtId="176" fontId="37" fillId="35" borderId="0" applyNumberFormat="0" applyBorder="0" applyAlignment="0" applyProtection="0">
      <alignment vertical="center"/>
    </xf>
    <xf numFmtId="176" fontId="37" fillId="35" borderId="0" applyNumberFormat="0" applyBorder="0" applyAlignment="0" applyProtection="0">
      <alignment vertical="center"/>
    </xf>
    <xf numFmtId="176" fontId="37" fillId="35" borderId="0" applyNumberFormat="0" applyBorder="0" applyAlignment="0" applyProtection="0">
      <alignment vertical="center"/>
    </xf>
    <xf numFmtId="176" fontId="37" fillId="35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38" fillId="47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35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3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2" fontId="0" fillId="0" borderId="0" applyFont="0" applyFill="0" applyBorder="0" applyAlignment="0" applyProtection="0"/>
    <xf numFmtId="176" fontId="39" fillId="0" borderId="0" applyNumberFormat="0" applyFill="0" applyBorder="0" applyAlignment="0" applyProtection="0"/>
    <xf numFmtId="176" fontId="39" fillId="0" borderId="0" applyNumberFormat="0" applyFill="0" applyBorder="0" applyAlignment="0" applyProtection="0"/>
    <xf numFmtId="176" fontId="39" fillId="0" borderId="0" applyNumberFormat="0" applyFill="0" applyBorder="0" applyAlignment="0" applyProtection="0"/>
    <xf numFmtId="176" fontId="39" fillId="0" borderId="0" applyNumberFormat="0" applyFill="0" applyBorder="0" applyAlignment="0" applyProtection="0"/>
    <xf numFmtId="176" fontId="39" fillId="0" borderId="0" applyNumberFormat="0" applyFill="0" applyBorder="0" applyAlignment="0" applyProtection="0"/>
    <xf numFmtId="176" fontId="39" fillId="0" borderId="0" applyNumberFormat="0" applyFill="0" applyBorder="0" applyAlignment="0" applyProtection="0"/>
    <xf numFmtId="176" fontId="39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0" fontId="36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32" fillId="0" borderId="0"/>
    <xf numFmtId="176" fontId="41" fillId="0" borderId="0">
      <alignment vertical="center"/>
    </xf>
    <xf numFmtId="0" fontId="42" fillId="0" borderId="0"/>
    <xf numFmtId="0" fontId="43" fillId="0" borderId="0"/>
    <xf numFmtId="0" fontId="42" fillId="0" borderId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176" fontId="0" fillId="0" borderId="10" applyNumberFormat="0" applyFont="0" applyFill="0" applyAlignment="0" applyProtection="0"/>
    <xf numFmtId="0" fontId="36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44" fillId="0" borderId="12" applyNumberFormat="0" applyFill="0" applyAlignment="0" applyProtection="0">
      <alignment vertical="center"/>
    </xf>
    <xf numFmtId="176" fontId="44" fillId="0" borderId="12" applyNumberFormat="0" applyFill="0" applyAlignment="0" applyProtection="0">
      <alignment vertical="center"/>
    </xf>
    <xf numFmtId="176" fontId="44" fillId="0" borderId="12" applyNumberFormat="0" applyFill="0" applyAlignment="0" applyProtection="0">
      <alignment vertical="center"/>
    </xf>
    <xf numFmtId="176" fontId="44" fillId="0" borderId="12" applyNumberFormat="0" applyFill="0" applyAlignment="0" applyProtection="0">
      <alignment vertical="center"/>
    </xf>
    <xf numFmtId="176" fontId="44" fillId="0" borderId="12" applyNumberFormat="0" applyFill="0" applyAlignment="0" applyProtection="0">
      <alignment vertical="center"/>
    </xf>
    <xf numFmtId="176" fontId="44" fillId="0" borderId="12" applyNumberFormat="0" applyFill="0" applyAlignment="0" applyProtection="0">
      <alignment vertical="center"/>
    </xf>
    <xf numFmtId="176" fontId="44" fillId="0" borderId="12" applyNumberFormat="0" applyFill="0" applyAlignment="0" applyProtection="0">
      <alignment vertical="center"/>
    </xf>
    <xf numFmtId="176" fontId="45" fillId="0" borderId="13" applyNumberFormat="0" applyFill="0" applyAlignment="0" applyProtection="0">
      <alignment vertical="center"/>
    </xf>
    <xf numFmtId="176" fontId="45" fillId="0" borderId="13" applyNumberFormat="0" applyFill="0" applyAlignment="0" applyProtection="0">
      <alignment vertical="center"/>
    </xf>
    <xf numFmtId="176" fontId="45" fillId="0" borderId="13" applyNumberFormat="0" applyFill="0" applyAlignment="0" applyProtection="0">
      <alignment vertical="center"/>
    </xf>
    <xf numFmtId="176" fontId="45" fillId="0" borderId="13" applyNumberFormat="0" applyFill="0" applyAlignment="0" applyProtection="0">
      <alignment vertical="center"/>
    </xf>
    <xf numFmtId="176" fontId="45" fillId="0" borderId="13" applyNumberFormat="0" applyFill="0" applyAlignment="0" applyProtection="0">
      <alignment vertical="center"/>
    </xf>
    <xf numFmtId="176" fontId="45" fillId="0" borderId="13" applyNumberFormat="0" applyFill="0" applyAlignment="0" applyProtection="0">
      <alignment vertical="center"/>
    </xf>
    <xf numFmtId="176" fontId="45" fillId="0" borderId="13" applyNumberFormat="0" applyFill="0" applyAlignment="0" applyProtection="0">
      <alignment vertical="center"/>
    </xf>
    <xf numFmtId="176" fontId="46" fillId="0" borderId="14" applyNumberFormat="0" applyFill="0" applyAlignment="0" applyProtection="0">
      <alignment vertical="center"/>
    </xf>
    <xf numFmtId="176" fontId="46" fillId="0" borderId="14" applyNumberFormat="0" applyFill="0" applyAlignment="0" applyProtection="0">
      <alignment vertical="center"/>
    </xf>
    <xf numFmtId="176" fontId="46" fillId="0" borderId="14" applyNumberFormat="0" applyFill="0" applyAlignment="0" applyProtection="0">
      <alignment vertical="center"/>
    </xf>
    <xf numFmtId="176" fontId="46" fillId="0" borderId="14" applyNumberFormat="0" applyFill="0" applyAlignment="0" applyProtection="0">
      <alignment vertical="center"/>
    </xf>
    <xf numFmtId="176" fontId="46" fillId="0" borderId="14" applyNumberFormat="0" applyFill="0" applyAlignment="0" applyProtection="0">
      <alignment vertical="center"/>
    </xf>
    <xf numFmtId="176" fontId="46" fillId="0" borderId="14" applyNumberFormat="0" applyFill="0" applyAlignment="0" applyProtection="0">
      <alignment vertical="center"/>
    </xf>
    <xf numFmtId="176" fontId="46" fillId="0" borderId="14" applyNumberFormat="0" applyFill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176" fontId="35" fillId="0" borderId="15" applyNumberFormat="0" applyFill="0" applyAlignment="0" applyProtection="0">
      <alignment vertical="center"/>
    </xf>
    <xf numFmtId="176" fontId="35" fillId="0" borderId="15" applyNumberFormat="0" applyFill="0" applyAlignment="0" applyProtection="0">
      <alignment vertical="center"/>
    </xf>
    <xf numFmtId="176" fontId="35" fillId="0" borderId="15" applyNumberFormat="0" applyFill="0" applyAlignment="0" applyProtection="0">
      <alignment vertical="center"/>
    </xf>
    <xf numFmtId="176" fontId="35" fillId="0" borderId="15" applyNumberFormat="0" applyFill="0" applyAlignment="0" applyProtection="0">
      <alignment vertical="center"/>
    </xf>
    <xf numFmtId="176" fontId="35" fillId="0" borderId="15" applyNumberFormat="0" applyFill="0" applyAlignment="0" applyProtection="0">
      <alignment vertical="center"/>
    </xf>
    <xf numFmtId="176" fontId="35" fillId="0" borderId="15" applyNumberFormat="0" applyFill="0" applyAlignment="0" applyProtection="0">
      <alignment vertical="center"/>
    </xf>
    <xf numFmtId="176" fontId="35" fillId="0" borderId="15" applyNumberFormat="0" applyFill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76" fontId="49" fillId="0" borderId="16" applyNumberFormat="0" applyFill="0" applyAlignment="0" applyProtection="0">
      <alignment vertical="center"/>
    </xf>
    <xf numFmtId="176" fontId="49" fillId="0" borderId="16" applyNumberFormat="0" applyFill="0" applyAlignment="0" applyProtection="0">
      <alignment vertical="center"/>
    </xf>
    <xf numFmtId="176" fontId="49" fillId="0" borderId="16" applyNumberFormat="0" applyFill="0" applyAlignment="0" applyProtection="0">
      <alignment vertical="center"/>
    </xf>
    <xf numFmtId="176" fontId="49" fillId="0" borderId="16" applyNumberFormat="0" applyFill="0" applyAlignment="0" applyProtection="0">
      <alignment vertical="center"/>
    </xf>
    <xf numFmtId="176" fontId="49" fillId="0" borderId="16" applyNumberFormat="0" applyFill="0" applyAlignment="0" applyProtection="0">
      <alignment vertical="center"/>
    </xf>
    <xf numFmtId="176" fontId="49" fillId="0" borderId="16" applyNumberFormat="0" applyFill="0" applyAlignment="0" applyProtection="0">
      <alignment vertical="center"/>
    </xf>
    <xf numFmtId="176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176" fontId="50" fillId="0" borderId="17" applyNumberFormat="0" applyFill="0" applyAlignment="0" applyProtection="0">
      <alignment vertical="center"/>
    </xf>
    <xf numFmtId="176" fontId="50" fillId="0" borderId="17" applyNumberFormat="0" applyFill="0" applyAlignment="0" applyProtection="0">
      <alignment vertical="center"/>
    </xf>
    <xf numFmtId="176" fontId="50" fillId="0" borderId="17" applyNumberFormat="0" applyFill="0" applyAlignment="0" applyProtection="0">
      <alignment vertical="center"/>
    </xf>
    <xf numFmtId="176" fontId="50" fillId="0" borderId="17" applyNumberFormat="0" applyFill="0" applyAlignment="0" applyProtection="0">
      <alignment vertical="center"/>
    </xf>
    <xf numFmtId="176" fontId="50" fillId="0" borderId="17" applyNumberFormat="0" applyFill="0" applyAlignment="0" applyProtection="0">
      <alignment vertical="center"/>
    </xf>
    <xf numFmtId="176" fontId="50" fillId="0" borderId="17" applyNumberFormat="0" applyFill="0" applyAlignment="0" applyProtection="0">
      <alignment vertical="center"/>
    </xf>
    <xf numFmtId="176" fontId="50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51" fillId="0" borderId="0">
      <alignment vertical="center"/>
    </xf>
    <xf numFmtId="176" fontId="51" fillId="0" borderId="0">
      <alignment vertical="center"/>
    </xf>
    <xf numFmtId="176" fontId="51" fillId="0" borderId="0">
      <alignment vertical="center"/>
    </xf>
    <xf numFmtId="176" fontId="51" fillId="0" borderId="0">
      <alignment vertical="center"/>
    </xf>
    <xf numFmtId="176" fontId="51" fillId="0" borderId="0">
      <alignment vertical="center"/>
    </xf>
    <xf numFmtId="176" fontId="51" fillId="0" borderId="0">
      <alignment vertical="center"/>
    </xf>
    <xf numFmtId="176" fontId="51" fillId="0" borderId="0">
      <alignment vertical="center"/>
    </xf>
    <xf numFmtId="176" fontId="51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32" fillId="0" borderId="0"/>
    <xf numFmtId="176" fontId="53" fillId="40" borderId="0" applyNumberFormat="0" applyBorder="0" applyAlignment="0" applyProtection="0">
      <alignment vertical="center"/>
    </xf>
    <xf numFmtId="176" fontId="53" fillId="40" borderId="0" applyNumberFormat="0" applyBorder="0" applyAlignment="0" applyProtection="0">
      <alignment vertical="center"/>
    </xf>
    <xf numFmtId="176" fontId="53" fillId="40" borderId="0" applyNumberFormat="0" applyBorder="0" applyAlignment="0" applyProtection="0">
      <alignment vertical="center"/>
    </xf>
    <xf numFmtId="176" fontId="53" fillId="40" borderId="0" applyNumberFormat="0" applyBorder="0" applyAlignment="0" applyProtection="0">
      <alignment vertical="center"/>
    </xf>
    <xf numFmtId="176" fontId="53" fillId="40" borderId="0" applyNumberFormat="0" applyBorder="0" applyAlignment="0" applyProtection="0">
      <alignment vertical="center"/>
    </xf>
    <xf numFmtId="176" fontId="53" fillId="40" borderId="0" applyNumberFormat="0" applyBorder="0" applyAlignment="0" applyProtection="0">
      <alignment vertical="center"/>
    </xf>
    <xf numFmtId="176" fontId="53" fillId="40" borderId="0" applyNumberFormat="0" applyBorder="0" applyAlignment="0" applyProtection="0">
      <alignment vertical="center"/>
    </xf>
    <xf numFmtId="0" fontId="36" fillId="0" borderId="0">
      <alignment vertical="center"/>
    </xf>
    <xf numFmtId="176" fontId="32" fillId="0" borderId="0"/>
    <xf numFmtId="176" fontId="32" fillId="0" borderId="0"/>
    <xf numFmtId="176" fontId="32" fillId="0" borderId="0"/>
    <xf numFmtId="0" fontId="12" fillId="0" borderId="0">
      <alignment vertical="center"/>
    </xf>
    <xf numFmtId="176" fontId="12" fillId="0" borderId="0">
      <alignment vertical="center"/>
    </xf>
    <xf numFmtId="176" fontId="32" fillId="0" borderId="0"/>
    <xf numFmtId="0" fontId="32" fillId="0" borderId="0"/>
    <xf numFmtId="176" fontId="12" fillId="0" borderId="0">
      <alignment vertical="center"/>
    </xf>
    <xf numFmtId="0" fontId="0" fillId="0" borderId="0">
      <alignment vertical="center"/>
    </xf>
    <xf numFmtId="176" fontId="34" fillId="0" borderId="0"/>
    <xf numFmtId="0" fontId="32" fillId="0" borderId="0"/>
    <xf numFmtId="0" fontId="12" fillId="0" borderId="0">
      <alignment vertical="center"/>
    </xf>
    <xf numFmtId="176" fontId="34" fillId="0" borderId="0"/>
    <xf numFmtId="176" fontId="34" fillId="0" borderId="0"/>
    <xf numFmtId="176" fontId="34" fillId="0" borderId="0"/>
    <xf numFmtId="176" fontId="34" fillId="0" borderId="0"/>
    <xf numFmtId="176" fontId="34" fillId="0" borderId="0"/>
    <xf numFmtId="176" fontId="34" fillId="0" borderId="0"/>
    <xf numFmtId="176" fontId="34" fillId="0" borderId="0"/>
    <xf numFmtId="0" fontId="42" fillId="0" borderId="0"/>
    <xf numFmtId="176" fontId="12" fillId="0" borderId="0">
      <alignment vertical="center"/>
    </xf>
    <xf numFmtId="0" fontId="12" fillId="0" borderId="0">
      <alignment vertical="center"/>
    </xf>
    <xf numFmtId="176" fontId="34" fillId="0" borderId="0"/>
    <xf numFmtId="0" fontId="12" fillId="0" borderId="0">
      <alignment vertical="center"/>
    </xf>
    <xf numFmtId="176" fontId="34" fillId="0" borderId="0"/>
    <xf numFmtId="176" fontId="34" fillId="0" borderId="0"/>
    <xf numFmtId="176" fontId="34" fillId="0" borderId="0"/>
    <xf numFmtId="176" fontId="34" fillId="0" borderId="0"/>
    <xf numFmtId="176" fontId="34" fillId="0" borderId="0"/>
    <xf numFmtId="0" fontId="0" fillId="0" borderId="0">
      <alignment vertical="center"/>
    </xf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0" fontId="35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35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0" fontId="0" fillId="0" borderId="0"/>
    <xf numFmtId="176" fontId="12" fillId="0" borderId="0">
      <alignment vertical="center"/>
    </xf>
    <xf numFmtId="0" fontId="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34" fillId="0" borderId="0">
      <alignment vertical="center"/>
    </xf>
    <xf numFmtId="176" fontId="32" fillId="0" borderId="0"/>
    <xf numFmtId="0" fontId="42" fillId="0" borderId="0"/>
    <xf numFmtId="0" fontId="37" fillId="51" borderId="0" applyNumberFormat="0" applyBorder="0" applyAlignment="0" applyProtection="0">
      <alignment vertical="center"/>
    </xf>
    <xf numFmtId="176" fontId="37" fillId="51" borderId="0" applyNumberFormat="0" applyBorder="0" applyAlignment="0" applyProtection="0">
      <alignment vertical="center"/>
    </xf>
    <xf numFmtId="176" fontId="37" fillId="51" borderId="0" applyNumberFormat="0" applyBorder="0" applyAlignment="0" applyProtection="0">
      <alignment vertical="center"/>
    </xf>
    <xf numFmtId="176" fontId="37" fillId="51" borderId="0" applyNumberFormat="0" applyBorder="0" applyAlignment="0" applyProtection="0">
      <alignment vertical="center"/>
    </xf>
    <xf numFmtId="176" fontId="37" fillId="51" borderId="0" applyNumberFormat="0" applyBorder="0" applyAlignment="0" applyProtection="0">
      <alignment vertical="center"/>
    </xf>
    <xf numFmtId="176" fontId="37" fillId="51" borderId="0" applyNumberFormat="0" applyBorder="0" applyAlignment="0" applyProtection="0">
      <alignment vertical="center"/>
    </xf>
    <xf numFmtId="176" fontId="37" fillId="51" borderId="0" applyNumberFormat="0" applyBorder="0" applyAlignment="0" applyProtection="0">
      <alignment vertical="center"/>
    </xf>
    <xf numFmtId="176" fontId="37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176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176" fontId="37" fillId="52" borderId="0" applyNumberFormat="0" applyBorder="0" applyAlignment="0" applyProtection="0">
      <alignment vertical="center"/>
    </xf>
    <xf numFmtId="176" fontId="37" fillId="52" borderId="0" applyNumberFormat="0" applyBorder="0" applyAlignment="0" applyProtection="0">
      <alignment vertical="center"/>
    </xf>
    <xf numFmtId="176" fontId="37" fillId="52" borderId="0" applyNumberFormat="0" applyBorder="0" applyAlignment="0" applyProtection="0">
      <alignment vertical="center"/>
    </xf>
    <xf numFmtId="176" fontId="37" fillId="52" borderId="0" applyNumberFormat="0" applyBorder="0" applyAlignment="0" applyProtection="0">
      <alignment vertical="center"/>
    </xf>
    <xf numFmtId="176" fontId="37" fillId="52" borderId="0" applyNumberFormat="0" applyBorder="0" applyAlignment="0" applyProtection="0">
      <alignment vertical="center"/>
    </xf>
    <xf numFmtId="176" fontId="37" fillId="52" borderId="0" applyNumberFormat="0" applyBorder="0" applyAlignment="0" applyProtection="0">
      <alignment vertical="center"/>
    </xf>
    <xf numFmtId="176" fontId="37" fillId="52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176" fontId="37" fillId="53" borderId="0" applyNumberFormat="0" applyBorder="0" applyAlignment="0" applyProtection="0">
      <alignment vertical="center"/>
    </xf>
    <xf numFmtId="176" fontId="37" fillId="53" borderId="0" applyNumberFormat="0" applyBorder="0" applyAlignment="0" applyProtection="0">
      <alignment vertical="center"/>
    </xf>
    <xf numFmtId="176" fontId="37" fillId="53" borderId="0" applyNumberFormat="0" applyBorder="0" applyAlignment="0" applyProtection="0">
      <alignment vertical="center"/>
    </xf>
    <xf numFmtId="176" fontId="37" fillId="53" borderId="0" applyNumberFormat="0" applyBorder="0" applyAlignment="0" applyProtection="0">
      <alignment vertical="center"/>
    </xf>
    <xf numFmtId="176" fontId="37" fillId="53" borderId="0" applyNumberFormat="0" applyBorder="0" applyAlignment="0" applyProtection="0">
      <alignment vertical="center"/>
    </xf>
    <xf numFmtId="176" fontId="37" fillId="53" borderId="0" applyNumberFormat="0" applyBorder="0" applyAlignment="0" applyProtection="0">
      <alignment vertical="center"/>
    </xf>
    <xf numFmtId="176" fontId="37" fillId="53" borderId="0" applyNumberFormat="0" applyBorder="0" applyAlignment="0" applyProtection="0">
      <alignment vertical="center"/>
    </xf>
    <xf numFmtId="176" fontId="54" fillId="38" borderId="0" applyNumberFormat="0" applyBorder="0" applyAlignment="0" applyProtection="0">
      <alignment vertical="center"/>
    </xf>
    <xf numFmtId="176" fontId="54" fillId="38" borderId="0" applyNumberFormat="0" applyBorder="0" applyAlignment="0" applyProtection="0">
      <alignment vertical="center"/>
    </xf>
    <xf numFmtId="176" fontId="54" fillId="38" borderId="0" applyNumberFormat="0" applyBorder="0" applyAlignment="0" applyProtection="0">
      <alignment vertical="center"/>
    </xf>
    <xf numFmtId="176" fontId="54" fillId="38" borderId="0" applyNumberFormat="0" applyBorder="0" applyAlignment="0" applyProtection="0">
      <alignment vertical="center"/>
    </xf>
    <xf numFmtId="176" fontId="54" fillId="38" borderId="0" applyNumberFormat="0" applyBorder="0" applyAlignment="0" applyProtection="0">
      <alignment vertical="center"/>
    </xf>
    <xf numFmtId="176" fontId="54" fillId="38" borderId="0" applyNumberFormat="0" applyBorder="0" applyAlignment="0" applyProtection="0">
      <alignment vertical="center"/>
    </xf>
    <xf numFmtId="176" fontId="54" fillId="38" borderId="0" applyNumberFormat="0" applyBorder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176" fontId="55" fillId="0" borderId="18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176" fontId="56" fillId="42" borderId="0" applyNumberFormat="0" applyBorder="0" applyAlignment="0" applyProtection="0">
      <alignment vertical="center"/>
    </xf>
    <xf numFmtId="176" fontId="56" fillId="42" borderId="0" applyNumberFormat="0" applyBorder="0" applyAlignment="0" applyProtection="0">
      <alignment vertical="center"/>
    </xf>
    <xf numFmtId="176" fontId="56" fillId="42" borderId="0" applyNumberFormat="0" applyBorder="0" applyAlignment="0" applyProtection="0">
      <alignment vertical="center"/>
    </xf>
    <xf numFmtId="176" fontId="56" fillId="42" borderId="0" applyNumberFormat="0" applyBorder="0" applyAlignment="0" applyProtection="0">
      <alignment vertical="center"/>
    </xf>
    <xf numFmtId="176" fontId="56" fillId="42" borderId="0" applyNumberFormat="0" applyBorder="0" applyAlignment="0" applyProtection="0">
      <alignment vertical="center"/>
    </xf>
    <xf numFmtId="176" fontId="56" fillId="42" borderId="0" applyNumberFormat="0" applyBorder="0" applyAlignment="0" applyProtection="0">
      <alignment vertical="center"/>
    </xf>
    <xf numFmtId="176" fontId="56" fillId="42" borderId="0" applyNumberFormat="0" applyBorder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7" fillId="0" borderId="19" applyNumberFormat="0" applyFill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176" fontId="58" fillId="54" borderId="20" applyNumberFormat="0" applyAlignment="0" applyProtection="0">
      <alignment vertical="center"/>
    </xf>
    <xf numFmtId="0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59" fillId="55" borderId="20" applyNumberFormat="0" applyAlignment="0" applyProtection="0">
      <alignment vertical="center"/>
    </xf>
    <xf numFmtId="176" fontId="60" fillId="56" borderId="21" applyNumberFormat="0" applyAlignment="0" applyProtection="0">
      <alignment vertical="center"/>
    </xf>
    <xf numFmtId="176" fontId="60" fillId="56" borderId="21" applyNumberFormat="0" applyAlignment="0" applyProtection="0">
      <alignment vertical="center"/>
    </xf>
    <xf numFmtId="176" fontId="60" fillId="56" borderId="21" applyNumberFormat="0" applyAlignment="0" applyProtection="0">
      <alignment vertical="center"/>
    </xf>
    <xf numFmtId="176" fontId="60" fillId="56" borderId="21" applyNumberFormat="0" applyAlignment="0" applyProtection="0">
      <alignment vertical="center"/>
    </xf>
    <xf numFmtId="176" fontId="60" fillId="56" borderId="21" applyNumberFormat="0" applyAlignment="0" applyProtection="0">
      <alignment vertical="center"/>
    </xf>
    <xf numFmtId="176" fontId="60" fillId="56" borderId="21" applyNumberFormat="0" applyAlignment="0" applyProtection="0">
      <alignment vertical="center"/>
    </xf>
    <xf numFmtId="176" fontId="60" fillId="56" borderId="21" applyNumberFormat="0" applyAlignment="0" applyProtection="0">
      <alignment vertical="center"/>
    </xf>
    <xf numFmtId="0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1" fillId="56" borderId="21" applyNumberFormat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176" fontId="43" fillId="0" borderId="22" applyNumberFormat="0" applyFill="0" applyAlignment="0" applyProtection="0">
      <alignment vertical="center"/>
    </xf>
    <xf numFmtId="176" fontId="43" fillId="0" borderId="22" applyNumberFormat="0" applyFill="0" applyAlignment="0" applyProtection="0">
      <alignment vertical="center"/>
    </xf>
    <xf numFmtId="176" fontId="43" fillId="0" borderId="22" applyNumberFormat="0" applyFill="0" applyAlignment="0" applyProtection="0">
      <alignment vertical="center"/>
    </xf>
    <xf numFmtId="176" fontId="43" fillId="0" borderId="22" applyNumberFormat="0" applyFill="0" applyAlignment="0" applyProtection="0">
      <alignment vertical="center"/>
    </xf>
    <xf numFmtId="176" fontId="43" fillId="0" borderId="22" applyNumberFormat="0" applyFill="0" applyAlignment="0" applyProtection="0">
      <alignment vertical="center"/>
    </xf>
    <xf numFmtId="176" fontId="43" fillId="0" borderId="22" applyNumberFormat="0" applyFill="0" applyAlignment="0" applyProtection="0">
      <alignment vertical="center"/>
    </xf>
    <xf numFmtId="176" fontId="43" fillId="0" borderId="22" applyNumberFormat="0" applyFill="0" applyAlignment="0" applyProtection="0">
      <alignment vertical="center"/>
    </xf>
    <xf numFmtId="176" fontId="64" fillId="0" borderId="23" applyNumberFormat="0" applyFill="0" applyAlignment="0" applyProtection="0">
      <alignment vertical="center"/>
    </xf>
    <xf numFmtId="176" fontId="64" fillId="0" borderId="23" applyNumberFormat="0" applyFill="0" applyAlignment="0" applyProtection="0">
      <alignment vertical="center"/>
    </xf>
    <xf numFmtId="176" fontId="64" fillId="0" borderId="23" applyNumberFormat="0" applyFill="0" applyAlignment="0" applyProtection="0">
      <alignment vertical="center"/>
    </xf>
    <xf numFmtId="176" fontId="64" fillId="0" borderId="23" applyNumberFormat="0" applyFill="0" applyAlignment="0" applyProtection="0">
      <alignment vertical="center"/>
    </xf>
    <xf numFmtId="176" fontId="64" fillId="0" borderId="23" applyNumberFormat="0" applyFill="0" applyAlignment="0" applyProtection="0">
      <alignment vertical="center"/>
    </xf>
    <xf numFmtId="176" fontId="64" fillId="0" borderId="23" applyNumberFormat="0" applyFill="0" applyAlignment="0" applyProtection="0">
      <alignment vertical="center"/>
    </xf>
    <xf numFmtId="176" fontId="64" fillId="0" borderId="23" applyNumberFormat="0" applyFill="0" applyAlignment="0" applyProtection="0">
      <alignment vertical="center"/>
    </xf>
    <xf numFmtId="40" fontId="0" fillId="0" borderId="0" applyFont="0" applyFill="0" applyBorder="0" applyAlignment="0" applyProtection="0"/>
    <xf numFmtId="38" fontId="0" fillId="0" borderId="0" applyFont="0" applyFill="0" applyBorder="0" applyAlignment="0" applyProtection="0"/>
    <xf numFmtId="179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76" fontId="38" fillId="57" borderId="0" applyNumberFormat="0" applyBorder="0" applyAlignment="0" applyProtection="0">
      <alignment vertical="center"/>
    </xf>
    <xf numFmtId="176" fontId="38" fillId="57" borderId="0" applyNumberFormat="0" applyBorder="0" applyAlignment="0" applyProtection="0">
      <alignment vertical="center"/>
    </xf>
    <xf numFmtId="176" fontId="38" fillId="57" borderId="0" applyNumberFormat="0" applyBorder="0" applyAlignment="0" applyProtection="0">
      <alignment vertical="center"/>
    </xf>
    <xf numFmtId="176" fontId="38" fillId="57" borderId="0" applyNumberFormat="0" applyBorder="0" applyAlignment="0" applyProtection="0">
      <alignment vertical="center"/>
    </xf>
    <xf numFmtId="176" fontId="38" fillId="57" borderId="0" applyNumberFormat="0" applyBorder="0" applyAlignment="0" applyProtection="0">
      <alignment vertical="center"/>
    </xf>
    <xf numFmtId="176" fontId="38" fillId="57" borderId="0" applyNumberFormat="0" applyBorder="0" applyAlignment="0" applyProtection="0">
      <alignment vertical="center"/>
    </xf>
    <xf numFmtId="176" fontId="38" fillId="57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8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38" fillId="46" borderId="0" applyNumberFormat="0" applyBorder="0" applyAlignment="0" applyProtection="0">
      <alignment vertical="center"/>
    </xf>
    <xf numFmtId="176" fontId="65" fillId="43" borderId="0" applyNumberFormat="0" applyBorder="0" applyAlignment="0" applyProtection="0">
      <alignment vertical="center"/>
    </xf>
    <xf numFmtId="176" fontId="65" fillId="43" borderId="0" applyNumberFormat="0" applyBorder="0" applyAlignment="0" applyProtection="0">
      <alignment vertical="center"/>
    </xf>
    <xf numFmtId="176" fontId="65" fillId="43" borderId="0" applyNumberFormat="0" applyBorder="0" applyAlignment="0" applyProtection="0">
      <alignment vertical="center"/>
    </xf>
    <xf numFmtId="176" fontId="65" fillId="43" borderId="0" applyNumberFormat="0" applyBorder="0" applyAlignment="0" applyProtection="0">
      <alignment vertical="center"/>
    </xf>
    <xf numFmtId="176" fontId="65" fillId="43" borderId="0" applyNumberFormat="0" applyBorder="0" applyAlignment="0" applyProtection="0">
      <alignment vertical="center"/>
    </xf>
    <xf numFmtId="176" fontId="65" fillId="43" borderId="0" applyNumberFormat="0" applyBorder="0" applyAlignment="0" applyProtection="0">
      <alignment vertical="center"/>
    </xf>
    <xf numFmtId="176" fontId="65" fillId="43" borderId="0" applyNumberFormat="0" applyBorder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6" fillId="54" borderId="24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176" fontId="67" fillId="37" borderId="20" applyNumberFormat="0" applyAlignment="0" applyProtection="0">
      <alignment vertical="center"/>
    </xf>
    <xf numFmtId="0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176" fontId="68" fillId="55" borderId="24" applyNumberFormat="0" applyAlignment="0" applyProtection="0">
      <alignment vertical="center"/>
    </xf>
    <xf numFmtId="0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176" fontId="69" fillId="43" borderId="2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71" fillId="0" borderId="0"/>
    <xf numFmtId="176" fontId="71" fillId="0" borderId="0"/>
    <xf numFmtId="176" fontId="71" fillId="0" borderId="0"/>
    <xf numFmtId="176" fontId="71" fillId="0" borderId="0"/>
    <xf numFmtId="176" fontId="71" fillId="0" borderId="0"/>
    <xf numFmtId="176" fontId="71" fillId="0" borderId="0"/>
    <xf numFmtId="176" fontId="71" fillId="0" borderId="0"/>
    <xf numFmtId="176" fontId="32" fillId="0" borderId="0"/>
    <xf numFmtId="0" fontId="4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3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42" fillId="43" borderId="0" applyNumberFormat="0" applyBorder="0" applyAlignment="0" applyProtection="0">
      <alignment vertical="center"/>
    </xf>
    <xf numFmtId="176" fontId="42" fillId="43" borderId="0" applyNumberFormat="0" applyBorder="0" applyAlignment="0" applyProtection="0">
      <alignment vertical="center"/>
    </xf>
    <xf numFmtId="176" fontId="42" fillId="43" borderId="0" applyNumberFormat="0" applyBorder="0" applyAlignment="0" applyProtection="0">
      <alignment vertical="center"/>
    </xf>
    <xf numFmtId="176" fontId="42" fillId="43" borderId="0" applyNumberFormat="0" applyBorder="0" applyAlignment="0" applyProtection="0">
      <alignment vertical="center"/>
    </xf>
    <xf numFmtId="176" fontId="42" fillId="43" borderId="0" applyNumberFormat="0" applyBorder="0" applyAlignment="0" applyProtection="0">
      <alignment vertical="center"/>
    </xf>
    <xf numFmtId="176" fontId="42" fillId="43" borderId="0" applyNumberFormat="0" applyBorder="0" applyAlignment="0" applyProtection="0">
      <alignment vertical="center"/>
    </xf>
    <xf numFmtId="176" fontId="42" fillId="43" borderId="0" applyNumberFormat="0" applyBorder="0" applyAlignment="0" applyProtection="0">
      <alignment vertical="center"/>
    </xf>
    <xf numFmtId="176" fontId="42" fillId="43" borderId="0" applyNumberFormat="0" applyBorder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32" fillId="36" borderId="11" applyNumberFormat="0" applyFont="0" applyAlignment="0" applyProtection="0">
      <alignment vertical="center"/>
    </xf>
    <xf numFmtId="176" fontId="72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76" fontId="73" fillId="0" borderId="0"/>
  </cellStyleXfs>
  <cellXfs count="5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546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153" applyFont="1" applyFill="1" applyAlignment="1" applyProtection="1">
      <alignment horizontal="left" vertical="center"/>
      <protection locked="0"/>
    </xf>
    <xf numFmtId="49" fontId="1" fillId="2" borderId="0" xfId="153" applyNumberFormat="1" applyFont="1" applyFill="1" applyAlignment="1" applyProtection="1">
      <alignment horizontal="left" vertical="center"/>
      <protection locked="0"/>
    </xf>
    <xf numFmtId="0" fontId="1" fillId="2" borderId="0" xfId="153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49" fontId="1" fillId="2" borderId="0" xfId="153" applyNumberFormat="1" applyFont="1" applyFill="1" applyAlignment="1" applyProtection="1">
      <alignment vertical="center" wrapText="1"/>
      <protection locked="0"/>
    </xf>
    <xf numFmtId="0" fontId="5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26" fontId="5" fillId="2" borderId="0" xfId="0" applyNumberFormat="1" applyFont="1" applyFill="1" applyBorder="1" applyAlignment="1">
      <alignment horizontal="left"/>
    </xf>
    <xf numFmtId="183" fontId="5" fillId="2" borderId="0" xfId="0" applyNumberFormat="1" applyFont="1" applyFill="1" applyBorder="1" applyAlignment="1">
      <alignment horizontal="right"/>
    </xf>
    <xf numFmtId="26" fontId="5" fillId="2" borderId="0" xfId="0" applyNumberFormat="1" applyFont="1" applyFill="1" applyBorder="1" applyAlignment="1">
      <alignment horizontal="left" shrinkToFit="1"/>
    </xf>
    <xf numFmtId="184" fontId="7" fillId="2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/>
    <xf numFmtId="185" fontId="5" fillId="2" borderId="0" xfId="0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shrinkToFit="1"/>
    </xf>
    <xf numFmtId="0" fontId="6" fillId="0" borderId="0" xfId="0" applyFont="1" applyFill="1" applyBorder="1" applyAlignment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26" fontId="5" fillId="2" borderId="0" xfId="0" applyNumberFormat="1" applyFont="1" applyFill="1" applyBorder="1" applyAlignment="1">
      <alignment horizontal="right" shrinkToFit="1"/>
    </xf>
    <xf numFmtId="26" fontId="5" fillId="2" borderId="0" xfId="0" applyNumberFormat="1" applyFont="1" applyFill="1" applyBorder="1" applyAlignment="1">
      <alignment horizontal="center" shrinkToFit="1"/>
    </xf>
    <xf numFmtId="0" fontId="8" fillId="2" borderId="0" xfId="0" applyFont="1" applyFill="1" applyBorder="1" applyAlignment="1">
      <alignment horizontal="left"/>
    </xf>
    <xf numFmtId="186" fontId="5" fillId="0" borderId="0" xfId="0" applyNumberFormat="1" applyFont="1" applyFill="1" applyBorder="1" applyAlignment="1"/>
    <xf numFmtId="0" fontId="9" fillId="2" borderId="0" xfId="0" applyFont="1" applyFill="1" applyBorder="1" applyAlignment="1">
      <alignment horizontal="center"/>
    </xf>
    <xf numFmtId="186" fontId="5" fillId="2" borderId="0" xfId="0" applyNumberFormat="1" applyFont="1" applyFill="1" applyBorder="1" applyAlignment="1"/>
    <xf numFmtId="26" fontId="5" fillId="2" borderId="0" xfId="0" applyNumberFormat="1" applyFont="1" applyFill="1" applyBorder="1" applyAlignment="1">
      <alignment horizontal="center"/>
    </xf>
    <xf numFmtId="26" fontId="5" fillId="2" borderId="0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26" fontId="5" fillId="2" borderId="1" xfId="0" applyNumberFormat="1" applyFont="1" applyFill="1" applyBorder="1" applyAlignment="1">
      <alignment horizontal="center"/>
    </xf>
    <xf numFmtId="183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/>
    <xf numFmtId="26" fontId="5" fillId="2" borderId="1" xfId="0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/>
    <xf numFmtId="26" fontId="5" fillId="2" borderId="0" xfId="0" applyNumberFormat="1" applyFont="1" applyFill="1" applyBorder="1" applyAlignment="1">
      <alignment horizontal="center" vertical="center"/>
    </xf>
    <xf numFmtId="187" fontId="5" fillId="2" borderId="0" xfId="0" applyNumberFormat="1" applyFont="1" applyFill="1" applyBorder="1" applyAlignment="1">
      <alignment horizontal="center" vertical="center"/>
    </xf>
    <xf numFmtId="25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183" fontId="5" fillId="2" borderId="0" xfId="0" applyNumberFormat="1" applyFont="1" applyFill="1" applyBorder="1" applyAlignment="1">
      <alignment horizontal="center" vertical="center"/>
    </xf>
    <xf numFmtId="26" fontId="5" fillId="2" borderId="1" xfId="0" applyNumberFormat="1" applyFont="1" applyFill="1" applyBorder="1" applyAlignment="1">
      <alignment horizontal="left"/>
    </xf>
    <xf numFmtId="183" fontId="5" fillId="2" borderId="0" xfId="0" applyNumberFormat="1" applyFont="1" applyFill="1" applyBorder="1" applyAlignment="1">
      <alignment horizontal="center"/>
    </xf>
    <xf numFmtId="188" fontId="5" fillId="2" borderId="0" xfId="0" applyNumberFormat="1" applyFont="1" applyFill="1" applyBorder="1" applyAlignment="1">
      <alignment horizontal="center" shrinkToFit="1"/>
    </xf>
    <xf numFmtId="188" fontId="5" fillId="2" borderId="0" xfId="0" applyNumberFormat="1" applyFont="1" applyFill="1" applyBorder="1" applyAlignment="1">
      <alignment shrinkToFit="1"/>
    </xf>
    <xf numFmtId="1" fontId="5" fillId="2" borderId="0" xfId="0" applyNumberFormat="1" applyFont="1" applyFill="1" applyBorder="1" applyAlignment="1">
      <alignment horizontal="left"/>
    </xf>
    <xf numFmtId="26" fontId="11" fillId="2" borderId="0" xfId="0" applyNumberFormat="1" applyFont="1" applyFill="1" applyBorder="1" applyAlignment="1">
      <alignment horizontal="left"/>
    </xf>
  </cellXfs>
  <cellStyles count="10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_ET_STYLE_NoName_00_ 2" xfId="50"/>
    <cellStyle name="_ET_STYLE_NoName_00_ 3" xfId="51"/>
    <cellStyle name="_ET_STYLE_NoName_00_ 4" xfId="52"/>
    <cellStyle name="_ET_STYLE_NoName_00_ 5" xfId="53"/>
    <cellStyle name="_ET_STYLE_NoName_00_ 6" xfId="54"/>
    <cellStyle name="_ET_STYLE_NoName_00_ 7" xfId="55"/>
    <cellStyle name="20% - Accent4 7 4 2 3 2" xfId="56"/>
    <cellStyle name="20% - Accent4 7 4 2 3 2 2" xfId="57"/>
    <cellStyle name="20% - Accent4 7 4 2 3 2 3" xfId="58"/>
    <cellStyle name="20% - Accent4 7 4 2 3 2 4" xfId="59"/>
    <cellStyle name="20% - Accent4 7 4 2 3 2 5" xfId="60"/>
    <cellStyle name="20% - Accent4 7 4 2 3 2 6" xfId="61"/>
    <cellStyle name="20% - Accent4 7 4 2 3 2 7" xfId="62"/>
    <cellStyle name="20% - 輔色1" xfId="63"/>
    <cellStyle name="20% - 輔色1 2" xfId="64"/>
    <cellStyle name="20% - 輔色1 3" xfId="65"/>
    <cellStyle name="20% - 輔色1 4" xfId="66"/>
    <cellStyle name="20% - 輔色1 5" xfId="67"/>
    <cellStyle name="20% - 輔色1 6" xfId="68"/>
    <cellStyle name="20% - 輔色1 7" xfId="69"/>
    <cellStyle name="20% - 輔色1 8" xfId="70"/>
    <cellStyle name="20% - 輔色2" xfId="71"/>
    <cellStyle name="20% - 輔色2 2" xfId="72"/>
    <cellStyle name="20% - 輔色2 3" xfId="73"/>
    <cellStyle name="20% - 輔色2 4" xfId="74"/>
    <cellStyle name="20% - 輔色2 5" xfId="75"/>
    <cellStyle name="20% - 輔色2 6" xfId="76"/>
    <cellStyle name="20% - 輔色2 7" xfId="77"/>
    <cellStyle name="20% - 輔色2 8" xfId="78"/>
    <cellStyle name="20% - 輔色3" xfId="79"/>
    <cellStyle name="20% - 輔色3 2" xfId="80"/>
    <cellStyle name="20% - 輔色3 3" xfId="81"/>
    <cellStyle name="20% - 輔色3 4" xfId="82"/>
    <cellStyle name="20% - 輔色3 5" xfId="83"/>
    <cellStyle name="20% - 輔色3 6" xfId="84"/>
    <cellStyle name="20% - 輔色3 7" xfId="85"/>
    <cellStyle name="20% - 輔色3 8" xfId="86"/>
    <cellStyle name="20% - 輔色4" xfId="87"/>
    <cellStyle name="20% - 輔色4 2" xfId="88"/>
    <cellStyle name="20% - 輔色4 3" xfId="89"/>
    <cellStyle name="20% - 輔色4 4" xfId="90"/>
    <cellStyle name="20% - 輔色4 5" xfId="91"/>
    <cellStyle name="20% - 輔色4 6" xfId="92"/>
    <cellStyle name="20% - 輔色4 7" xfId="93"/>
    <cellStyle name="20% - 輔色4 8" xfId="94"/>
    <cellStyle name="20% - 輔色5" xfId="95"/>
    <cellStyle name="20% - 輔色5 2" xfId="96"/>
    <cellStyle name="20% - 輔色5 3" xfId="97"/>
    <cellStyle name="20% - 輔色5 4" xfId="98"/>
    <cellStyle name="20% - 輔色5 5" xfId="99"/>
    <cellStyle name="20% - 輔色5 6" xfId="100"/>
    <cellStyle name="20% - 輔色5 7" xfId="101"/>
    <cellStyle name="20% - 輔色5 8" xfId="102"/>
    <cellStyle name="20% - 輔色6" xfId="103"/>
    <cellStyle name="20% - 輔色6 2" xfId="104"/>
    <cellStyle name="20% - 輔色6 3" xfId="105"/>
    <cellStyle name="20% - 輔色6 4" xfId="106"/>
    <cellStyle name="20% - 輔色6 5" xfId="107"/>
    <cellStyle name="20% - 輔色6 6" xfId="108"/>
    <cellStyle name="20% - 輔色6 7" xfId="109"/>
    <cellStyle name="20% - 輔色6 8" xfId="110"/>
    <cellStyle name="20% - 强调文字颜色 1 2" xfId="111"/>
    <cellStyle name="20% - 强调文字颜色 1 2 2" xfId="112"/>
    <cellStyle name="20% - 强调文字颜色 1 2 3" xfId="113"/>
    <cellStyle name="20% - 强调文字颜色 1 2 4" xfId="114"/>
    <cellStyle name="20% - 强调文字颜色 1 2 5" xfId="115"/>
    <cellStyle name="20% - 强调文字颜色 1 2 6" xfId="116"/>
    <cellStyle name="20% - 强调文字颜色 1 2 7" xfId="117"/>
    <cellStyle name="20% - 强调文字颜色 2 2" xfId="118"/>
    <cellStyle name="20% - 强调文字颜色 2 2 2" xfId="119"/>
    <cellStyle name="20% - 强调文字颜色 2 2 3" xfId="120"/>
    <cellStyle name="20% - 强调文字颜色 2 2 4" xfId="121"/>
    <cellStyle name="20% - 强调文字颜色 2 2 5" xfId="122"/>
    <cellStyle name="20% - 强调文字颜色 2 2 6" xfId="123"/>
    <cellStyle name="20% - 强调文字颜色 2 2 7" xfId="124"/>
    <cellStyle name="20% - 强调文字颜色 3 2" xfId="125"/>
    <cellStyle name="20% - 强调文字颜色 3 2 2" xfId="126"/>
    <cellStyle name="20% - 强调文字颜色 3 2 3" xfId="127"/>
    <cellStyle name="20% - 强调文字颜色 3 2 4" xfId="128"/>
    <cellStyle name="20% - 强调文字颜色 3 2 5" xfId="129"/>
    <cellStyle name="20% - 强调文字颜色 3 2 6" xfId="130"/>
    <cellStyle name="20% - 强调文字颜色 3 2 7" xfId="131"/>
    <cellStyle name="20% - 强调文字颜色 4 2" xfId="132"/>
    <cellStyle name="20% - 强调文字颜色 4 2 2" xfId="133"/>
    <cellStyle name="20% - 强调文字颜色 4 2 3" xfId="134"/>
    <cellStyle name="20% - 强调文字颜色 4 2 4" xfId="135"/>
    <cellStyle name="20% - 强调文字颜色 4 2 5" xfId="136"/>
    <cellStyle name="20% - 强调文字颜色 4 2 6" xfId="137"/>
    <cellStyle name="20% - 强调文字颜色 4 2 7" xfId="138"/>
    <cellStyle name="20% - 强调文字颜色 5 2" xfId="139"/>
    <cellStyle name="20% - 强调文字颜色 5 2 2" xfId="140"/>
    <cellStyle name="20% - 强调文字颜色 5 2 3" xfId="141"/>
    <cellStyle name="20% - 强调文字颜色 5 2 4" xfId="142"/>
    <cellStyle name="20% - 强调文字颜色 5 2 5" xfId="143"/>
    <cellStyle name="20% - 强调文字颜色 5 2 6" xfId="144"/>
    <cellStyle name="20% - 强调文字颜色 5 2 7" xfId="145"/>
    <cellStyle name="20% - 强调文字颜色 6 2" xfId="146"/>
    <cellStyle name="20% - 强调文字颜色 6 2 2" xfId="147"/>
    <cellStyle name="20% - 强调文字颜色 6 2 3" xfId="148"/>
    <cellStyle name="20% - 强调文字颜色 6 2 4" xfId="149"/>
    <cellStyle name="20% - 强调文字颜色 6 2 5" xfId="150"/>
    <cellStyle name="20% - 强调文字颜色 6 2 6" xfId="151"/>
    <cellStyle name="20% - 强调文字颜色 6 2 7" xfId="152"/>
    <cellStyle name="25*62*210" xfId="153"/>
    <cellStyle name="25*62*210 10" xfId="154"/>
    <cellStyle name="25*62*210 10 2" xfId="155"/>
    <cellStyle name="25*62*210 10 2 2" xfId="156"/>
    <cellStyle name="25*62*210 11" xfId="157"/>
    <cellStyle name="25*62*210 2" xfId="158"/>
    <cellStyle name="25*62*210 2 13" xfId="159"/>
    <cellStyle name="25*62*210 2 13 2" xfId="160"/>
    <cellStyle name="25*62*210 2 13 3" xfId="161"/>
    <cellStyle name="25*62*210 2 13 4" xfId="162"/>
    <cellStyle name="25*62*210 2 13 5" xfId="163"/>
    <cellStyle name="25*62*210 2 13 6" xfId="164"/>
    <cellStyle name="25*62*210 2 13 7" xfId="165"/>
    <cellStyle name="25*62*210 2 2" xfId="166"/>
    <cellStyle name="25*62*210 2 3" xfId="167"/>
    <cellStyle name="25*62*210 2 4" xfId="168"/>
    <cellStyle name="25*62*210 2 5" xfId="169"/>
    <cellStyle name="25*62*210 2 6" xfId="170"/>
    <cellStyle name="25*62*210 2 7" xfId="171"/>
    <cellStyle name="25*62*210 2 8" xfId="172"/>
    <cellStyle name="25*62*210 3" xfId="173"/>
    <cellStyle name="25*62*210 3 2" xfId="174"/>
    <cellStyle name="25*62*210 3 3" xfId="175"/>
    <cellStyle name="25*62*210 3 4" xfId="176"/>
    <cellStyle name="25*62*210 3 5" xfId="177"/>
    <cellStyle name="25*62*210 3 6" xfId="178"/>
    <cellStyle name="25*62*210 3 7" xfId="179"/>
    <cellStyle name="25*62*210 3 8" xfId="180"/>
    <cellStyle name="25*62*210 4" xfId="181"/>
    <cellStyle name="25*62*210 5" xfId="182"/>
    <cellStyle name="25*62*210 6" xfId="183"/>
    <cellStyle name="25*62*210 7" xfId="184"/>
    <cellStyle name="25*62*210 8" xfId="185"/>
    <cellStyle name="25*62*210 9" xfId="186"/>
    <cellStyle name="25*62*210_TF111579~-PL-Global Tackle" xfId="187"/>
    <cellStyle name="40% - 輔色1" xfId="188"/>
    <cellStyle name="40% - 輔色1 2" xfId="189"/>
    <cellStyle name="40% - 輔色1 3" xfId="190"/>
    <cellStyle name="40% - 輔色1 4" xfId="191"/>
    <cellStyle name="40% - 輔色1 5" xfId="192"/>
    <cellStyle name="40% - 輔色1 6" xfId="193"/>
    <cellStyle name="40% - 輔色1 7" xfId="194"/>
    <cellStyle name="40% - 輔色1 8" xfId="195"/>
    <cellStyle name="40% - 輔色2" xfId="196"/>
    <cellStyle name="40% - 輔色2 2" xfId="197"/>
    <cellStyle name="40% - 輔色2 3" xfId="198"/>
    <cellStyle name="40% - 輔色2 4" xfId="199"/>
    <cellStyle name="40% - 輔色2 5" xfId="200"/>
    <cellStyle name="40% - 輔色2 6" xfId="201"/>
    <cellStyle name="40% - 輔色2 7" xfId="202"/>
    <cellStyle name="40% - 輔色2 8" xfId="203"/>
    <cellStyle name="40% - 輔色3" xfId="204"/>
    <cellStyle name="40% - 輔色3 2" xfId="205"/>
    <cellStyle name="40% - 輔色3 3" xfId="206"/>
    <cellStyle name="40% - 輔色3 4" xfId="207"/>
    <cellStyle name="40% - 輔色3 5" xfId="208"/>
    <cellStyle name="40% - 輔色3 6" xfId="209"/>
    <cellStyle name="40% - 輔色3 7" xfId="210"/>
    <cellStyle name="40% - 輔色3 8" xfId="211"/>
    <cellStyle name="40% - 輔色4" xfId="212"/>
    <cellStyle name="40% - 輔色4 2" xfId="213"/>
    <cellStyle name="40% - 輔色4 3" xfId="214"/>
    <cellStyle name="40% - 輔色4 4" xfId="215"/>
    <cellStyle name="40% - 輔色4 5" xfId="216"/>
    <cellStyle name="40% - 輔色4 6" xfId="217"/>
    <cellStyle name="40% - 輔色4 7" xfId="218"/>
    <cellStyle name="40% - 輔色4 8" xfId="219"/>
    <cellStyle name="40% - 輔色5" xfId="220"/>
    <cellStyle name="40% - 輔色5 2" xfId="221"/>
    <cellStyle name="40% - 輔色5 3" xfId="222"/>
    <cellStyle name="40% - 輔色5 4" xfId="223"/>
    <cellStyle name="40% - 輔色5 5" xfId="224"/>
    <cellStyle name="40% - 輔色5 6" xfId="225"/>
    <cellStyle name="40% - 輔色5 7" xfId="226"/>
    <cellStyle name="40% - 輔色5 8" xfId="227"/>
    <cellStyle name="40% - 輔色6" xfId="228"/>
    <cellStyle name="40% - 輔色6 2" xfId="229"/>
    <cellStyle name="40% - 輔色6 3" xfId="230"/>
    <cellStyle name="40% - 輔色6 4" xfId="231"/>
    <cellStyle name="40% - 輔色6 5" xfId="232"/>
    <cellStyle name="40% - 輔色6 6" xfId="233"/>
    <cellStyle name="40% - 輔色6 7" xfId="234"/>
    <cellStyle name="40% - 輔色6 8" xfId="235"/>
    <cellStyle name="40% - 强调文字颜色 1 2" xfId="236"/>
    <cellStyle name="40% - 强调文字颜色 1 2 2" xfId="237"/>
    <cellStyle name="40% - 强调文字颜色 1 2 3" xfId="238"/>
    <cellStyle name="40% - 强调文字颜色 1 2 4" xfId="239"/>
    <cellStyle name="40% - 强调文字颜色 1 2 5" xfId="240"/>
    <cellStyle name="40% - 强调文字颜色 1 2 6" xfId="241"/>
    <cellStyle name="40% - 强调文字颜色 1 2 7" xfId="242"/>
    <cellStyle name="40% - 强调文字颜色 2 2" xfId="243"/>
    <cellStyle name="40% - 强调文字颜色 2 2 2" xfId="244"/>
    <cellStyle name="40% - 强调文字颜色 2 2 3" xfId="245"/>
    <cellStyle name="40% - 强调文字颜色 2 2 4" xfId="246"/>
    <cellStyle name="40% - 强调文字颜色 2 2 5" xfId="247"/>
    <cellStyle name="40% - 强调文字颜色 2 2 6" xfId="248"/>
    <cellStyle name="40% - 强调文字颜色 2 2 7" xfId="249"/>
    <cellStyle name="40% - 强调文字颜色 3 2" xfId="250"/>
    <cellStyle name="40% - 强调文字颜色 3 2 2" xfId="251"/>
    <cellStyle name="40% - 强调文字颜色 3 2 3" xfId="252"/>
    <cellStyle name="40% - 强调文字颜色 3 2 4" xfId="253"/>
    <cellStyle name="40% - 强调文字颜色 3 2 5" xfId="254"/>
    <cellStyle name="40% - 强调文字颜色 3 2 6" xfId="255"/>
    <cellStyle name="40% - 强调文字颜色 3 2 7" xfId="256"/>
    <cellStyle name="40% - 强调文字颜色 4 2" xfId="257"/>
    <cellStyle name="40% - 强调文字颜色 4 2 2" xfId="258"/>
    <cellStyle name="40% - 强调文字颜色 4 2 3" xfId="259"/>
    <cellStyle name="40% - 强调文字颜色 4 2 4" xfId="260"/>
    <cellStyle name="40% - 强调文字颜色 4 2 5" xfId="261"/>
    <cellStyle name="40% - 强调文字颜色 4 2 6" xfId="262"/>
    <cellStyle name="40% - 强调文字颜色 4 2 7" xfId="263"/>
    <cellStyle name="40% - 强调文字颜色 5 2" xfId="264"/>
    <cellStyle name="40% - 强调文字颜色 5 2 2" xfId="265"/>
    <cellStyle name="40% - 强调文字颜色 5 2 3" xfId="266"/>
    <cellStyle name="40% - 强调文字颜色 5 2 4" xfId="267"/>
    <cellStyle name="40% - 强调文字颜色 5 2 5" xfId="268"/>
    <cellStyle name="40% - 强调文字颜色 5 2 6" xfId="269"/>
    <cellStyle name="40% - 强调文字颜色 5 2 7" xfId="270"/>
    <cellStyle name="40% - 强调文字颜色 6 2" xfId="271"/>
    <cellStyle name="40% - 强调文字颜色 6 2 2" xfId="272"/>
    <cellStyle name="40% - 强调文字颜色 6 2 3" xfId="273"/>
    <cellStyle name="40% - 强调文字颜色 6 2 4" xfId="274"/>
    <cellStyle name="40% - 强调文字颜色 6 2 5" xfId="275"/>
    <cellStyle name="40% - 强调文字颜色 6 2 6" xfId="276"/>
    <cellStyle name="40% - 强调文字颜色 6 2 7" xfId="277"/>
    <cellStyle name="60% - 輔色1" xfId="278"/>
    <cellStyle name="60% - 輔色1 2" xfId="279"/>
    <cellStyle name="60% - 輔色1 3" xfId="280"/>
    <cellStyle name="60% - 輔色1 4" xfId="281"/>
    <cellStyle name="60% - 輔色1 5" xfId="282"/>
    <cellStyle name="60% - 輔色1 6" xfId="283"/>
    <cellStyle name="60% - 輔色1 7" xfId="284"/>
    <cellStyle name="60% - 輔色1 8" xfId="285"/>
    <cellStyle name="60% - 輔色2" xfId="286"/>
    <cellStyle name="60% - 輔色2 2" xfId="287"/>
    <cellStyle name="60% - 輔色2 3" xfId="288"/>
    <cellStyle name="60% - 輔色2 4" xfId="289"/>
    <cellStyle name="60% - 輔色2 5" xfId="290"/>
    <cellStyle name="60% - 輔色2 6" xfId="291"/>
    <cellStyle name="60% - 輔色2 7" xfId="292"/>
    <cellStyle name="60% - 輔色2 8" xfId="293"/>
    <cellStyle name="60% - 輔色3" xfId="294"/>
    <cellStyle name="60% - 輔色3 2" xfId="295"/>
    <cellStyle name="60% - 輔色3 3" xfId="296"/>
    <cellStyle name="60% - 輔色3 4" xfId="297"/>
    <cellStyle name="60% - 輔色3 5" xfId="298"/>
    <cellStyle name="60% - 輔色3 6" xfId="299"/>
    <cellStyle name="60% - 輔色3 7" xfId="300"/>
    <cellStyle name="60% - 輔色3 8" xfId="301"/>
    <cellStyle name="60% - 輔色4" xfId="302"/>
    <cellStyle name="60% - 輔色4 2" xfId="303"/>
    <cellStyle name="60% - 輔色4 3" xfId="304"/>
    <cellStyle name="60% - 輔色4 4" xfId="305"/>
    <cellStyle name="60% - 輔色4 5" xfId="306"/>
    <cellStyle name="60% - 輔色4 6" xfId="307"/>
    <cellStyle name="60% - 輔色4 7" xfId="308"/>
    <cellStyle name="60% - 輔色4 8" xfId="309"/>
    <cellStyle name="60% - 輔色5" xfId="310"/>
    <cellStyle name="60% - 輔色5 2" xfId="311"/>
    <cellStyle name="60% - 輔色5 3" xfId="312"/>
    <cellStyle name="60% - 輔色5 4" xfId="313"/>
    <cellStyle name="60% - 輔色5 5" xfId="314"/>
    <cellStyle name="60% - 輔色5 6" xfId="315"/>
    <cellStyle name="60% - 輔色5 7" xfId="316"/>
    <cellStyle name="60% - 輔色5 8" xfId="317"/>
    <cellStyle name="60% - 輔色6" xfId="318"/>
    <cellStyle name="60% - 輔色6 2" xfId="319"/>
    <cellStyle name="60% - 輔色6 3" xfId="320"/>
    <cellStyle name="60% - 輔色6 4" xfId="321"/>
    <cellStyle name="60% - 輔色6 5" xfId="322"/>
    <cellStyle name="60% - 輔色6 6" xfId="323"/>
    <cellStyle name="60% - 輔色6 7" xfId="324"/>
    <cellStyle name="60% - 輔色6 8" xfId="325"/>
    <cellStyle name="60% - 强调文字颜色 1 2" xfId="326"/>
    <cellStyle name="60% - 强调文字颜色 1 2 2" xfId="327"/>
    <cellStyle name="60% - 强调文字颜色 1 2 3" xfId="328"/>
    <cellStyle name="60% - 强调文字颜色 1 2 4" xfId="329"/>
    <cellStyle name="60% - 强调文字颜色 1 2 5" xfId="330"/>
    <cellStyle name="60% - 强调文字颜色 1 2 6" xfId="331"/>
    <cellStyle name="60% - 强调文字颜色 1 2 7" xfId="332"/>
    <cellStyle name="60% - 强调文字颜色 2 2" xfId="333"/>
    <cellStyle name="60% - 强调文字颜色 2 2 2" xfId="334"/>
    <cellStyle name="60% - 强调文字颜色 2 2 3" xfId="335"/>
    <cellStyle name="60% - 强调文字颜色 2 2 4" xfId="336"/>
    <cellStyle name="60% - 强调文字颜色 2 2 5" xfId="337"/>
    <cellStyle name="60% - 强调文字颜色 2 2 6" xfId="338"/>
    <cellStyle name="60% - 强调文字颜色 2 2 7" xfId="339"/>
    <cellStyle name="60% - 强调文字颜色 3 2" xfId="340"/>
    <cellStyle name="60% - 强调文字颜色 3 2 2" xfId="341"/>
    <cellStyle name="60% - 强调文字颜色 3 2 3" xfId="342"/>
    <cellStyle name="60% - 强调文字颜色 3 2 4" xfId="343"/>
    <cellStyle name="60% - 强调文字颜色 3 2 5" xfId="344"/>
    <cellStyle name="60% - 强调文字颜色 3 2 6" xfId="345"/>
    <cellStyle name="60% - 强调文字颜色 3 2 7" xfId="346"/>
    <cellStyle name="60% - 强调文字颜色 4 2" xfId="347"/>
    <cellStyle name="60% - 强调文字颜色 4 2 2" xfId="348"/>
    <cellStyle name="60% - 强调文字颜色 4 2 3" xfId="349"/>
    <cellStyle name="60% - 强调文字颜色 4 2 4" xfId="350"/>
    <cellStyle name="60% - 强调文字颜色 4 2 5" xfId="351"/>
    <cellStyle name="60% - 强调文字颜色 4 2 6" xfId="352"/>
    <cellStyle name="60% - 强调文字颜色 4 2 7" xfId="353"/>
    <cellStyle name="60% - 强调文字颜色 5 2" xfId="354"/>
    <cellStyle name="60% - 强调文字颜色 5 2 2" xfId="355"/>
    <cellStyle name="60% - 强调文字颜色 5 2 3" xfId="356"/>
    <cellStyle name="60% - 强调文字颜色 5 2 4" xfId="357"/>
    <cellStyle name="60% - 强调文字颜色 5 2 5" xfId="358"/>
    <cellStyle name="60% - 强调文字颜色 5 2 6" xfId="359"/>
    <cellStyle name="60% - 强调文字颜色 5 2 7" xfId="360"/>
    <cellStyle name="60% - 强调文字颜色 6 2" xfId="361"/>
    <cellStyle name="60% - 强调文字颜色 6 2 2" xfId="362"/>
    <cellStyle name="60% - 强调文字颜色 6 2 3" xfId="363"/>
    <cellStyle name="60% - 强调文字颜色 6 2 4" xfId="364"/>
    <cellStyle name="60% - 强调文字颜色 6 2 5" xfId="365"/>
    <cellStyle name="60% - 强调文字颜色 6 2 6" xfId="366"/>
    <cellStyle name="60% - 强调文字颜色 6 2 7" xfId="367"/>
    <cellStyle name="Comma0" xfId="368"/>
    <cellStyle name="Currency_SZ validated order follow up(Rumba)_new" xfId="369"/>
    <cellStyle name="Currency0" xfId="370"/>
    <cellStyle name="Date" xfId="371"/>
    <cellStyle name="Date 2" xfId="372"/>
    <cellStyle name="Date 3" xfId="373"/>
    <cellStyle name="Date 4" xfId="374"/>
    <cellStyle name="Date 5" xfId="375"/>
    <cellStyle name="Date 6" xfId="376"/>
    <cellStyle name="Date 7" xfId="377"/>
    <cellStyle name="Fixed" xfId="378"/>
    <cellStyle name="Heading 1" xfId="379"/>
    <cellStyle name="Heading 1 2" xfId="380"/>
    <cellStyle name="Heading 1 3" xfId="381"/>
    <cellStyle name="Heading 1 4" xfId="382"/>
    <cellStyle name="Heading 1 5" xfId="383"/>
    <cellStyle name="Heading 1 6" xfId="384"/>
    <cellStyle name="Heading 1 7" xfId="385"/>
    <cellStyle name="Heading 2" xfId="386"/>
    <cellStyle name="Heading 2 2" xfId="387"/>
    <cellStyle name="Heading 2 3" xfId="388"/>
    <cellStyle name="Heading 2 4" xfId="389"/>
    <cellStyle name="Heading 2 5" xfId="390"/>
    <cellStyle name="Heading 2 6" xfId="391"/>
    <cellStyle name="Heading 2 7" xfId="392"/>
    <cellStyle name="Normal 2" xfId="393"/>
    <cellStyle name="Normal 2 2" xfId="394"/>
    <cellStyle name="Normal 2 3" xfId="395"/>
    <cellStyle name="Normal 2 4" xfId="396"/>
    <cellStyle name="Normal 2 5" xfId="397"/>
    <cellStyle name="Normal 2 6" xfId="398"/>
    <cellStyle name="Normal 2 7" xfId="399"/>
    <cellStyle name="Normal 2 8" xfId="400"/>
    <cellStyle name="Normal 3" xfId="401"/>
    <cellStyle name="Normal 3 2" xfId="402"/>
    <cellStyle name="Normal 3 3" xfId="403"/>
    <cellStyle name="Normal 3 4" xfId="404"/>
    <cellStyle name="Normal 3 5" xfId="405"/>
    <cellStyle name="Normal 3 6" xfId="406"/>
    <cellStyle name="Normal 3 7" xfId="407"/>
    <cellStyle name="Normal 4" xfId="408"/>
    <cellStyle name="Normal_Abu Garcia Ed.3 02-03.xls" xfId="409"/>
    <cellStyle name="Normal_Sheet1 2" xfId="410"/>
    <cellStyle name="Normal_Sheet1_1 2" xfId="411"/>
    <cellStyle name="Normal_Sheet2 2" xfId="412"/>
    <cellStyle name="Total" xfId="413"/>
    <cellStyle name="Total 2" xfId="414"/>
    <cellStyle name="Total 2 2" xfId="415"/>
    <cellStyle name="Total 3" xfId="416"/>
    <cellStyle name="Total 3 2" xfId="417"/>
    <cellStyle name="Total 4" xfId="418"/>
    <cellStyle name="Total 4 2" xfId="419"/>
    <cellStyle name="Total 5" xfId="420"/>
    <cellStyle name="Total 5 2" xfId="421"/>
    <cellStyle name="Total 6" xfId="422"/>
    <cellStyle name="Total 6 2" xfId="423"/>
    <cellStyle name="Total 7" xfId="424"/>
    <cellStyle name="Total 7 2" xfId="425"/>
    <cellStyle name="Total 8" xfId="426"/>
    <cellStyle name="Total 8 2" xfId="427"/>
    <cellStyle name="備註" xfId="428"/>
    <cellStyle name="備註 10" xfId="429"/>
    <cellStyle name="備註 2" xfId="430"/>
    <cellStyle name="備註 3" xfId="431"/>
    <cellStyle name="備註 4" xfId="432"/>
    <cellStyle name="備註 5" xfId="433"/>
    <cellStyle name="備註 6" xfId="434"/>
    <cellStyle name="備註 7" xfId="435"/>
    <cellStyle name="備註 8" xfId="436"/>
    <cellStyle name="備註 9" xfId="437"/>
    <cellStyle name="标题 1 2" xfId="438"/>
    <cellStyle name="标题 1 2 2" xfId="439"/>
    <cellStyle name="标题 1 2 3" xfId="440"/>
    <cellStyle name="标题 1 2 4" xfId="441"/>
    <cellStyle name="标题 1 2 5" xfId="442"/>
    <cellStyle name="标题 1 2 6" xfId="443"/>
    <cellStyle name="标题 1 2 7" xfId="444"/>
    <cellStyle name="标题 2 2" xfId="445"/>
    <cellStyle name="标题 2 2 2" xfId="446"/>
    <cellStyle name="标题 2 2 3" xfId="447"/>
    <cellStyle name="标题 2 2 4" xfId="448"/>
    <cellStyle name="标题 2 2 5" xfId="449"/>
    <cellStyle name="标题 2 2 6" xfId="450"/>
    <cellStyle name="标题 2 2 7" xfId="451"/>
    <cellStyle name="标题 3 2" xfId="452"/>
    <cellStyle name="标题 3 2 2" xfId="453"/>
    <cellStyle name="标题 3 2 3" xfId="454"/>
    <cellStyle name="标题 3 2 4" xfId="455"/>
    <cellStyle name="标题 3 2 5" xfId="456"/>
    <cellStyle name="标题 3 2 6" xfId="457"/>
    <cellStyle name="标题 3 2 7" xfId="458"/>
    <cellStyle name="标题 4 2" xfId="459"/>
    <cellStyle name="标题 4 2 2" xfId="460"/>
    <cellStyle name="标题 4 2 3" xfId="461"/>
    <cellStyle name="标题 4 2 4" xfId="462"/>
    <cellStyle name="标题 4 2 5" xfId="463"/>
    <cellStyle name="标题 4 2 6" xfId="464"/>
    <cellStyle name="标题 4 2 7" xfId="465"/>
    <cellStyle name="标题 5" xfId="466"/>
    <cellStyle name="标题 5 2" xfId="467"/>
    <cellStyle name="标题 5 3" xfId="468"/>
    <cellStyle name="标题 5 4" xfId="469"/>
    <cellStyle name="标题 5 5" xfId="470"/>
    <cellStyle name="标题 5 6" xfId="471"/>
    <cellStyle name="标题 5 7" xfId="472"/>
    <cellStyle name="標題" xfId="473"/>
    <cellStyle name="標題 1" xfId="474"/>
    <cellStyle name="標題 1 2" xfId="475"/>
    <cellStyle name="標題 1 3" xfId="476"/>
    <cellStyle name="標題 1 4" xfId="477"/>
    <cellStyle name="標題 1 5" xfId="478"/>
    <cellStyle name="標題 1 6" xfId="479"/>
    <cellStyle name="標題 1 7" xfId="480"/>
    <cellStyle name="標題 1 8" xfId="481"/>
    <cellStyle name="標題 10" xfId="482"/>
    <cellStyle name="標題 11" xfId="483"/>
    <cellStyle name="標題 2" xfId="484"/>
    <cellStyle name="標題 2 2" xfId="485"/>
    <cellStyle name="標題 2 3" xfId="486"/>
    <cellStyle name="標題 2 4" xfId="487"/>
    <cellStyle name="標題 2 5" xfId="488"/>
    <cellStyle name="標題 2 6" xfId="489"/>
    <cellStyle name="標題 2 7" xfId="490"/>
    <cellStyle name="標題 2 8" xfId="491"/>
    <cellStyle name="標題 3" xfId="492"/>
    <cellStyle name="標題 3 2" xfId="493"/>
    <cellStyle name="標題 3 3" xfId="494"/>
    <cellStyle name="標題 3 4" xfId="495"/>
    <cellStyle name="標題 3 5" xfId="496"/>
    <cellStyle name="標題 3 6" xfId="497"/>
    <cellStyle name="標題 3 7" xfId="498"/>
    <cellStyle name="標題 3 8" xfId="499"/>
    <cellStyle name="標題 4" xfId="500"/>
    <cellStyle name="標題 4 2" xfId="501"/>
    <cellStyle name="標題 4 3" xfId="502"/>
    <cellStyle name="標題 4 4" xfId="503"/>
    <cellStyle name="標題 4 5" xfId="504"/>
    <cellStyle name="標題 4 6" xfId="505"/>
    <cellStyle name="標題 4 7" xfId="506"/>
    <cellStyle name="標題 4 8" xfId="507"/>
    <cellStyle name="標題 5" xfId="508"/>
    <cellStyle name="標題 6" xfId="509"/>
    <cellStyle name="標題 7" xfId="510"/>
    <cellStyle name="標題 8" xfId="511"/>
    <cellStyle name="標題 9" xfId="512"/>
    <cellStyle name="標準 2" xfId="513"/>
    <cellStyle name="標準 2 2" xfId="514"/>
    <cellStyle name="標準 2 3" xfId="515"/>
    <cellStyle name="標準 2 4" xfId="516"/>
    <cellStyle name="標準 2 5" xfId="517"/>
    <cellStyle name="標準 2 6" xfId="518"/>
    <cellStyle name="標準 2 7" xfId="519"/>
    <cellStyle name="標準 2 8" xfId="520"/>
    <cellStyle name="標準 3" xfId="521"/>
    <cellStyle name="標準 3 2" xfId="522"/>
    <cellStyle name="標準 3 3" xfId="523"/>
    <cellStyle name="標準 3 4" xfId="524"/>
    <cellStyle name="標準 3 5" xfId="525"/>
    <cellStyle name="標準 3 6" xfId="526"/>
    <cellStyle name="標準 3 7" xfId="527"/>
    <cellStyle name="標準 3 8" xfId="528"/>
    <cellStyle name="標準_NP List Master12.29" xfId="529"/>
    <cellStyle name="差 2" xfId="530"/>
    <cellStyle name="差 2 2" xfId="531"/>
    <cellStyle name="差 2 3" xfId="532"/>
    <cellStyle name="差 2 4" xfId="533"/>
    <cellStyle name="差 2 5" xfId="534"/>
    <cellStyle name="差 2 6" xfId="535"/>
    <cellStyle name="差 2 7" xfId="536"/>
    <cellStyle name="常规 10" xfId="537"/>
    <cellStyle name="常规 10 2" xfId="538"/>
    <cellStyle name="常规 11" xfId="539"/>
    <cellStyle name="常规 12" xfId="540"/>
    <cellStyle name="常规 13" xfId="541"/>
    <cellStyle name="常规 13 2" xfId="542"/>
    <cellStyle name="常规 14" xfId="543"/>
    <cellStyle name="常规 14 2" xfId="544"/>
    <cellStyle name="常规 15" xfId="545"/>
    <cellStyle name="常规 2" xfId="546"/>
    <cellStyle name="常规 2 10" xfId="547"/>
    <cellStyle name="常规 2 11 2" xfId="548"/>
    <cellStyle name="常规 2 2" xfId="549"/>
    <cellStyle name="常规 2 2 2" xfId="550"/>
    <cellStyle name="常规 2 2 3" xfId="551"/>
    <cellStyle name="常规 2 2 4" xfId="552"/>
    <cellStyle name="常规 2 2 5" xfId="553"/>
    <cellStyle name="常规 2 2 6" xfId="554"/>
    <cellStyle name="常规 2 2 7" xfId="555"/>
    <cellStyle name="常规 2 2 8" xfId="556"/>
    <cellStyle name="常规 2 3" xfId="557"/>
    <cellStyle name="常规 2 3 2" xfId="558"/>
    <cellStyle name="常规 2 4" xfId="559"/>
    <cellStyle name="常规 2 4 2" xfId="560"/>
    <cellStyle name="常规 2 5" xfId="561"/>
    <cellStyle name="常规 2 5 2" xfId="562"/>
    <cellStyle name="常规 2 6" xfId="563"/>
    <cellStyle name="常规 2 7" xfId="564"/>
    <cellStyle name="常规 2 8" xfId="565"/>
    <cellStyle name="常规 2 9" xfId="566"/>
    <cellStyle name="常规 3" xfId="567"/>
    <cellStyle name="常规 3 2" xfId="568"/>
    <cellStyle name="常规 3 3" xfId="569"/>
    <cellStyle name="常规 3 4" xfId="570"/>
    <cellStyle name="常规 3 5" xfId="571"/>
    <cellStyle name="常规 3 6" xfId="572"/>
    <cellStyle name="常规 3 7" xfId="573"/>
    <cellStyle name="常规 3 8" xfId="574"/>
    <cellStyle name="常规 4" xfId="575"/>
    <cellStyle name="常规 4 2" xfId="576"/>
    <cellStyle name="常规 4 3" xfId="577"/>
    <cellStyle name="常规 4 4" xfId="578"/>
    <cellStyle name="常规 4 5" xfId="579"/>
    <cellStyle name="常规 4 6" xfId="580"/>
    <cellStyle name="常规 4 7" xfId="581"/>
    <cellStyle name="常规 4 8" xfId="582"/>
    <cellStyle name="常规 5" xfId="583"/>
    <cellStyle name="常规 5 2" xfId="584"/>
    <cellStyle name="常规 5 3" xfId="585"/>
    <cellStyle name="常规 5 4" xfId="586"/>
    <cellStyle name="常规 5 5" xfId="587"/>
    <cellStyle name="常规 5 6" xfId="588"/>
    <cellStyle name="常规 5 7" xfId="589"/>
    <cellStyle name="常规 5 8" xfId="590"/>
    <cellStyle name="常规 6" xfId="591"/>
    <cellStyle name="常规 6 2" xfId="592"/>
    <cellStyle name="常规 6 3" xfId="593"/>
    <cellStyle name="常规 6 4" xfId="594"/>
    <cellStyle name="常规 6 5" xfId="595"/>
    <cellStyle name="常规 6 6" xfId="596"/>
    <cellStyle name="常规 6 7" xfId="597"/>
    <cellStyle name="常规 6 8" xfId="598"/>
    <cellStyle name="常规 7" xfId="599"/>
    <cellStyle name="常规 7 2" xfId="600"/>
    <cellStyle name="常规 8" xfId="601"/>
    <cellStyle name="常规 8 2" xfId="602"/>
    <cellStyle name="常规 8 3" xfId="603"/>
    <cellStyle name="常规 8 4" xfId="604"/>
    <cellStyle name="常规 8 5" xfId="605"/>
    <cellStyle name="常规 8 6" xfId="606"/>
    <cellStyle name="常规 8 7" xfId="607"/>
    <cellStyle name="常规 8 8" xfId="608"/>
    <cellStyle name="常规 9" xfId="609"/>
    <cellStyle name="常规 9 2" xfId="610"/>
    <cellStyle name="常规_Sheet1 2" xfId="611"/>
    <cellStyle name="輔色1" xfId="612"/>
    <cellStyle name="輔色1 2" xfId="613"/>
    <cellStyle name="輔色1 3" xfId="614"/>
    <cellStyle name="輔色1 4" xfId="615"/>
    <cellStyle name="輔色1 5" xfId="616"/>
    <cellStyle name="輔色1 6" xfId="617"/>
    <cellStyle name="輔色1 7" xfId="618"/>
    <cellStyle name="輔色1 8" xfId="619"/>
    <cellStyle name="輔色2" xfId="620"/>
    <cellStyle name="輔色2 2" xfId="621"/>
    <cellStyle name="輔色2 3" xfId="622"/>
    <cellStyle name="輔色2 4" xfId="623"/>
    <cellStyle name="輔色2 5" xfId="624"/>
    <cellStyle name="輔色2 6" xfId="625"/>
    <cellStyle name="輔色2 7" xfId="626"/>
    <cellStyle name="輔色2 8" xfId="627"/>
    <cellStyle name="輔色3" xfId="628"/>
    <cellStyle name="輔色3 2" xfId="629"/>
    <cellStyle name="輔色3 3" xfId="630"/>
    <cellStyle name="輔色3 4" xfId="631"/>
    <cellStyle name="輔色3 5" xfId="632"/>
    <cellStyle name="輔色3 6" xfId="633"/>
    <cellStyle name="輔色3 7" xfId="634"/>
    <cellStyle name="輔色3 8" xfId="635"/>
    <cellStyle name="輔色4" xfId="636"/>
    <cellStyle name="輔色4 2" xfId="637"/>
    <cellStyle name="輔色4 3" xfId="638"/>
    <cellStyle name="輔色4 4" xfId="639"/>
    <cellStyle name="輔色4 5" xfId="640"/>
    <cellStyle name="輔色4 6" xfId="641"/>
    <cellStyle name="輔色4 7" xfId="642"/>
    <cellStyle name="輔色4 8" xfId="643"/>
    <cellStyle name="輔色5" xfId="644"/>
    <cellStyle name="輔色5 2" xfId="645"/>
    <cellStyle name="輔色5 3" xfId="646"/>
    <cellStyle name="輔色5 4" xfId="647"/>
    <cellStyle name="輔色5 5" xfId="648"/>
    <cellStyle name="輔色5 6" xfId="649"/>
    <cellStyle name="輔色5 7" xfId="650"/>
    <cellStyle name="輔色5 8" xfId="651"/>
    <cellStyle name="輔色6" xfId="652"/>
    <cellStyle name="輔色6 2" xfId="653"/>
    <cellStyle name="輔色6 3" xfId="654"/>
    <cellStyle name="輔色6 4" xfId="655"/>
    <cellStyle name="輔色6 5" xfId="656"/>
    <cellStyle name="輔色6 6" xfId="657"/>
    <cellStyle name="輔色6 7" xfId="658"/>
    <cellStyle name="輔色6 8" xfId="659"/>
    <cellStyle name="好 2" xfId="660"/>
    <cellStyle name="好 2 2" xfId="661"/>
    <cellStyle name="好 2 3" xfId="662"/>
    <cellStyle name="好 2 4" xfId="663"/>
    <cellStyle name="好 2 5" xfId="664"/>
    <cellStyle name="好 2 6" xfId="665"/>
    <cellStyle name="好 2 7" xfId="666"/>
    <cellStyle name="合計" xfId="667"/>
    <cellStyle name="合計 10" xfId="668"/>
    <cellStyle name="合計 11" xfId="669"/>
    <cellStyle name="合計 12" xfId="670"/>
    <cellStyle name="合計 2" xfId="671"/>
    <cellStyle name="合計 2 2" xfId="672"/>
    <cellStyle name="合計 2 3" xfId="673"/>
    <cellStyle name="合計 3" xfId="674"/>
    <cellStyle name="合計 3 2" xfId="675"/>
    <cellStyle name="合計 3 3" xfId="676"/>
    <cellStyle name="合計 4" xfId="677"/>
    <cellStyle name="合計 4 2" xfId="678"/>
    <cellStyle name="合計 4 3" xfId="679"/>
    <cellStyle name="合計 5" xfId="680"/>
    <cellStyle name="合計 5 2" xfId="681"/>
    <cellStyle name="合計 5 3" xfId="682"/>
    <cellStyle name="合計 6" xfId="683"/>
    <cellStyle name="合計 6 2" xfId="684"/>
    <cellStyle name="合計 6 3" xfId="685"/>
    <cellStyle name="合計 7" xfId="686"/>
    <cellStyle name="合計 7 2" xfId="687"/>
    <cellStyle name="合計 7 3" xfId="688"/>
    <cellStyle name="合計 8" xfId="689"/>
    <cellStyle name="合計 8 2" xfId="690"/>
    <cellStyle name="合計 8 3" xfId="691"/>
    <cellStyle name="合計 9" xfId="692"/>
    <cellStyle name="合計 9 2" xfId="693"/>
    <cellStyle name="合計 9 3" xfId="694"/>
    <cellStyle name="壞" xfId="695"/>
    <cellStyle name="壞 2" xfId="696"/>
    <cellStyle name="壞 3" xfId="697"/>
    <cellStyle name="壞 4" xfId="698"/>
    <cellStyle name="壞 5" xfId="699"/>
    <cellStyle name="壞 6" xfId="700"/>
    <cellStyle name="壞 7" xfId="701"/>
    <cellStyle name="壞 8" xfId="702"/>
    <cellStyle name="汇总 2" xfId="703"/>
    <cellStyle name="汇总 2 10" xfId="704"/>
    <cellStyle name="汇总 2 11" xfId="705"/>
    <cellStyle name="汇总 2 2" xfId="706"/>
    <cellStyle name="汇总 2 2 2" xfId="707"/>
    <cellStyle name="汇总 2 2 3" xfId="708"/>
    <cellStyle name="汇总 2 3" xfId="709"/>
    <cellStyle name="汇总 2 3 2" xfId="710"/>
    <cellStyle name="汇总 2 3 3" xfId="711"/>
    <cellStyle name="汇总 2 4" xfId="712"/>
    <cellStyle name="汇总 2 4 2" xfId="713"/>
    <cellStyle name="汇总 2 4 3" xfId="714"/>
    <cellStyle name="汇总 2 5" xfId="715"/>
    <cellStyle name="汇总 2 5 2" xfId="716"/>
    <cellStyle name="汇总 2 5 3" xfId="717"/>
    <cellStyle name="汇总 2 6" xfId="718"/>
    <cellStyle name="汇总 2 6 2" xfId="719"/>
    <cellStyle name="汇总 2 6 3" xfId="720"/>
    <cellStyle name="汇总 2 7" xfId="721"/>
    <cellStyle name="汇总 2 7 2" xfId="722"/>
    <cellStyle name="汇总 2 7 3" xfId="723"/>
    <cellStyle name="汇总 2 8" xfId="724"/>
    <cellStyle name="汇总 2 8 2" xfId="725"/>
    <cellStyle name="汇总 2 8 3" xfId="726"/>
    <cellStyle name="汇总 2 9" xfId="727"/>
    <cellStyle name="汇总 2 9 2" xfId="728"/>
    <cellStyle name="汇总 2 9 3" xfId="729"/>
    <cellStyle name="计算 2" xfId="730"/>
    <cellStyle name="计算 2 10" xfId="731"/>
    <cellStyle name="计算 2 11" xfId="732"/>
    <cellStyle name="计算 2 2" xfId="733"/>
    <cellStyle name="计算 2 2 2" xfId="734"/>
    <cellStyle name="计算 2 2 3" xfId="735"/>
    <cellStyle name="计算 2 3" xfId="736"/>
    <cellStyle name="计算 2 3 2" xfId="737"/>
    <cellStyle name="计算 2 3 3" xfId="738"/>
    <cellStyle name="计算 2 4" xfId="739"/>
    <cellStyle name="计算 2 4 2" xfId="740"/>
    <cellStyle name="计算 2 4 3" xfId="741"/>
    <cellStyle name="计算 2 5" xfId="742"/>
    <cellStyle name="计算 2 5 2" xfId="743"/>
    <cellStyle name="计算 2 5 3" xfId="744"/>
    <cellStyle name="计算 2 6" xfId="745"/>
    <cellStyle name="计算 2 6 2" xfId="746"/>
    <cellStyle name="计算 2 6 3" xfId="747"/>
    <cellStyle name="计算 2 7" xfId="748"/>
    <cellStyle name="计算 2 7 2" xfId="749"/>
    <cellStyle name="计算 2 7 3" xfId="750"/>
    <cellStyle name="计算 2 8" xfId="751"/>
    <cellStyle name="计算 2 8 2" xfId="752"/>
    <cellStyle name="计算 2 8 3" xfId="753"/>
    <cellStyle name="计算 2 9" xfId="754"/>
    <cellStyle name="计算 2 9 2" xfId="755"/>
    <cellStyle name="计算 2 9 3" xfId="756"/>
    <cellStyle name="計算方式" xfId="757"/>
    <cellStyle name="計算方式 10" xfId="758"/>
    <cellStyle name="計算方式 11" xfId="759"/>
    <cellStyle name="計算方式 12" xfId="760"/>
    <cellStyle name="計算方式 2" xfId="761"/>
    <cellStyle name="計算方式 2 2" xfId="762"/>
    <cellStyle name="計算方式 2 3" xfId="763"/>
    <cellStyle name="計算方式 3" xfId="764"/>
    <cellStyle name="計算方式 3 2" xfId="765"/>
    <cellStyle name="計算方式 3 3" xfId="766"/>
    <cellStyle name="計算方式 4" xfId="767"/>
    <cellStyle name="計算方式 4 2" xfId="768"/>
    <cellStyle name="計算方式 4 3" xfId="769"/>
    <cellStyle name="計算方式 5" xfId="770"/>
    <cellStyle name="計算方式 5 2" xfId="771"/>
    <cellStyle name="計算方式 5 3" xfId="772"/>
    <cellStyle name="計算方式 6" xfId="773"/>
    <cellStyle name="計算方式 6 2" xfId="774"/>
    <cellStyle name="計算方式 6 3" xfId="775"/>
    <cellStyle name="計算方式 7" xfId="776"/>
    <cellStyle name="計算方式 7 2" xfId="777"/>
    <cellStyle name="計算方式 7 3" xfId="778"/>
    <cellStyle name="計算方式 8" xfId="779"/>
    <cellStyle name="計算方式 8 2" xfId="780"/>
    <cellStyle name="計算方式 8 3" xfId="781"/>
    <cellStyle name="計算方式 9" xfId="782"/>
    <cellStyle name="計算方式 9 2" xfId="783"/>
    <cellStyle name="計算方式 9 3" xfId="784"/>
    <cellStyle name="检查单元格 2" xfId="785"/>
    <cellStyle name="检查单元格 2 2" xfId="786"/>
    <cellStyle name="检查单元格 2 3" xfId="787"/>
    <cellStyle name="检查单元格 2 4" xfId="788"/>
    <cellStyle name="检查单元格 2 5" xfId="789"/>
    <cellStyle name="检查单元格 2 6" xfId="790"/>
    <cellStyle name="检查单元格 2 7" xfId="791"/>
    <cellStyle name="檢查儲存格" xfId="792"/>
    <cellStyle name="檢查儲存格 2" xfId="793"/>
    <cellStyle name="檢查儲存格 3" xfId="794"/>
    <cellStyle name="檢查儲存格 4" xfId="795"/>
    <cellStyle name="檢查儲存格 5" xfId="796"/>
    <cellStyle name="檢查儲存格 6" xfId="797"/>
    <cellStyle name="檢查儲存格 7" xfId="798"/>
    <cellStyle name="檢查儲存格 8" xfId="799"/>
    <cellStyle name="解释性文本 2" xfId="800"/>
    <cellStyle name="解释性文本 2 2" xfId="801"/>
    <cellStyle name="解释性文本 2 3" xfId="802"/>
    <cellStyle name="解释性文本 2 4" xfId="803"/>
    <cellStyle name="解释性文本 2 5" xfId="804"/>
    <cellStyle name="解释性文本 2 6" xfId="805"/>
    <cellStyle name="解释性文本 2 7" xfId="806"/>
    <cellStyle name="警告文本 2" xfId="807"/>
    <cellStyle name="警告文本 2 2" xfId="808"/>
    <cellStyle name="警告文本 2 3" xfId="809"/>
    <cellStyle name="警告文本 2 4" xfId="810"/>
    <cellStyle name="警告文本 2 5" xfId="811"/>
    <cellStyle name="警告文本 2 6" xfId="812"/>
    <cellStyle name="警告文本 2 7" xfId="813"/>
    <cellStyle name="警告文字" xfId="814"/>
    <cellStyle name="警告文字 2" xfId="815"/>
    <cellStyle name="警告文字 3" xfId="816"/>
    <cellStyle name="警告文字 4" xfId="817"/>
    <cellStyle name="警告文字 5" xfId="818"/>
    <cellStyle name="警告文字 6" xfId="819"/>
    <cellStyle name="警告文字 7" xfId="820"/>
    <cellStyle name="警告文字 8" xfId="821"/>
    <cellStyle name="連結的儲存格" xfId="822"/>
    <cellStyle name="連結的儲存格 2" xfId="823"/>
    <cellStyle name="連結的儲存格 3" xfId="824"/>
    <cellStyle name="連結的儲存格 4" xfId="825"/>
    <cellStyle name="連結的儲存格 5" xfId="826"/>
    <cellStyle name="連結的儲存格 6" xfId="827"/>
    <cellStyle name="連結的儲存格 7" xfId="828"/>
    <cellStyle name="連結的儲存格 8" xfId="829"/>
    <cellStyle name="链接单元格 2" xfId="830"/>
    <cellStyle name="链接单元格 2 2" xfId="831"/>
    <cellStyle name="链接单元格 2 3" xfId="832"/>
    <cellStyle name="链接单元格 2 4" xfId="833"/>
    <cellStyle name="链接单元格 2 5" xfId="834"/>
    <cellStyle name="链接单元格 2 6" xfId="835"/>
    <cellStyle name="链接单元格 2 7" xfId="836"/>
    <cellStyle name="똿뗦먛귟 [0.00]_PRODUCT DETAIL Q1" xfId="837"/>
    <cellStyle name="똿뗦먛귟_PRODUCT DETAIL Q1" xfId="838"/>
    <cellStyle name="千位分隔[0] 2" xfId="839"/>
    <cellStyle name="千位分隔[0] 2 2" xfId="840"/>
    <cellStyle name="千位分隔[0] 2 3" xfId="841"/>
    <cellStyle name="千位分隔[0] 2 4" xfId="842"/>
    <cellStyle name="千位分隔[0] 2 5" xfId="843"/>
    <cellStyle name="千位分隔[0] 2 6" xfId="844"/>
    <cellStyle name="千位分隔[0] 2 7" xfId="845"/>
    <cellStyle name="千位分隔[0] 2 8" xfId="846"/>
    <cellStyle name="强调文字颜色 1 2" xfId="847"/>
    <cellStyle name="强调文字颜色 1 2 2" xfId="848"/>
    <cellStyle name="强调文字颜色 1 2 3" xfId="849"/>
    <cellStyle name="强调文字颜色 1 2 4" xfId="850"/>
    <cellStyle name="强调文字颜色 1 2 5" xfId="851"/>
    <cellStyle name="强调文字颜色 1 2 6" xfId="852"/>
    <cellStyle name="强调文字颜色 1 2 7" xfId="853"/>
    <cellStyle name="强调文字颜色 2 2" xfId="854"/>
    <cellStyle name="强调文字颜色 2 2 2" xfId="855"/>
    <cellStyle name="强调文字颜色 2 2 3" xfId="856"/>
    <cellStyle name="强调文字颜色 2 2 4" xfId="857"/>
    <cellStyle name="强调文字颜色 2 2 5" xfId="858"/>
    <cellStyle name="强调文字颜色 2 2 6" xfId="859"/>
    <cellStyle name="强调文字颜色 2 2 7" xfId="860"/>
    <cellStyle name="强调文字颜色 3 2" xfId="861"/>
    <cellStyle name="强调文字颜色 3 2 2" xfId="862"/>
    <cellStyle name="强调文字颜色 3 2 3" xfId="863"/>
    <cellStyle name="强调文字颜色 3 2 4" xfId="864"/>
    <cellStyle name="强调文字颜色 3 2 5" xfId="865"/>
    <cellStyle name="强调文字颜色 3 2 6" xfId="866"/>
    <cellStyle name="强调文字颜色 3 2 7" xfId="867"/>
    <cellStyle name="强调文字颜色 4 2" xfId="868"/>
    <cellStyle name="强调文字颜色 4 2 2" xfId="869"/>
    <cellStyle name="强调文字颜色 4 2 3" xfId="870"/>
    <cellStyle name="强调文字颜色 4 2 4" xfId="871"/>
    <cellStyle name="强调文字颜色 4 2 5" xfId="872"/>
    <cellStyle name="强调文字颜色 4 2 6" xfId="873"/>
    <cellStyle name="强调文字颜色 4 2 7" xfId="874"/>
    <cellStyle name="强调文字颜色 5 2" xfId="875"/>
    <cellStyle name="强调文字颜色 5 2 2" xfId="876"/>
    <cellStyle name="强调文字颜色 5 2 3" xfId="877"/>
    <cellStyle name="强调文字颜色 5 2 4" xfId="878"/>
    <cellStyle name="强调文字颜色 5 2 5" xfId="879"/>
    <cellStyle name="强调文字颜色 5 2 6" xfId="880"/>
    <cellStyle name="强调文字颜色 5 2 7" xfId="881"/>
    <cellStyle name="强调文字颜色 6 2" xfId="882"/>
    <cellStyle name="强调文字颜色 6 2 2" xfId="883"/>
    <cellStyle name="强调文字颜色 6 2 3" xfId="884"/>
    <cellStyle name="强调文字颜色 6 2 4" xfId="885"/>
    <cellStyle name="强调文字颜色 6 2 5" xfId="886"/>
    <cellStyle name="强调文字颜色 6 2 6" xfId="887"/>
    <cellStyle name="强调文字颜色 6 2 7" xfId="888"/>
    <cellStyle name="适中 2" xfId="889"/>
    <cellStyle name="适中 2 2" xfId="890"/>
    <cellStyle name="适中 2 3" xfId="891"/>
    <cellStyle name="适中 2 4" xfId="892"/>
    <cellStyle name="适中 2 5" xfId="893"/>
    <cellStyle name="适中 2 6" xfId="894"/>
    <cellStyle name="适中 2 7" xfId="895"/>
    <cellStyle name="输出 2" xfId="896"/>
    <cellStyle name="输出 2 10" xfId="897"/>
    <cellStyle name="输出 2 11" xfId="898"/>
    <cellStyle name="输出 2 2" xfId="899"/>
    <cellStyle name="输出 2 2 2" xfId="900"/>
    <cellStyle name="输出 2 2 3" xfId="901"/>
    <cellStyle name="输出 2 3" xfId="902"/>
    <cellStyle name="输出 2 3 2" xfId="903"/>
    <cellStyle name="输出 2 3 3" xfId="904"/>
    <cellStyle name="输出 2 4" xfId="905"/>
    <cellStyle name="输出 2 4 2" xfId="906"/>
    <cellStyle name="输出 2 4 3" xfId="907"/>
    <cellStyle name="输出 2 5" xfId="908"/>
    <cellStyle name="输出 2 5 2" xfId="909"/>
    <cellStyle name="输出 2 5 3" xfId="910"/>
    <cellStyle name="输出 2 6" xfId="911"/>
    <cellStyle name="输出 2 6 2" xfId="912"/>
    <cellStyle name="输出 2 6 3" xfId="913"/>
    <cellStyle name="输出 2 7" xfId="914"/>
    <cellStyle name="输出 2 7 2" xfId="915"/>
    <cellStyle name="输出 2 7 3" xfId="916"/>
    <cellStyle name="输出 2 8" xfId="917"/>
    <cellStyle name="输出 2 8 2" xfId="918"/>
    <cellStyle name="输出 2 8 3" xfId="919"/>
    <cellStyle name="输出 2 9" xfId="920"/>
    <cellStyle name="输出 2 9 2" xfId="921"/>
    <cellStyle name="输出 2 9 3" xfId="922"/>
    <cellStyle name="输入 2" xfId="923"/>
    <cellStyle name="输入 2 10" xfId="924"/>
    <cellStyle name="输入 2 11" xfId="925"/>
    <cellStyle name="输入 2 2" xfId="926"/>
    <cellStyle name="输入 2 2 2" xfId="927"/>
    <cellStyle name="输入 2 2 3" xfId="928"/>
    <cellStyle name="输入 2 3" xfId="929"/>
    <cellStyle name="输入 2 3 2" xfId="930"/>
    <cellStyle name="输入 2 3 3" xfId="931"/>
    <cellStyle name="输入 2 4" xfId="932"/>
    <cellStyle name="输入 2 4 2" xfId="933"/>
    <cellStyle name="输入 2 4 3" xfId="934"/>
    <cellStyle name="输入 2 5" xfId="935"/>
    <cellStyle name="输入 2 5 2" xfId="936"/>
    <cellStyle name="输入 2 5 3" xfId="937"/>
    <cellStyle name="输入 2 6" xfId="938"/>
    <cellStyle name="输入 2 6 2" xfId="939"/>
    <cellStyle name="输入 2 6 3" xfId="940"/>
    <cellStyle name="输入 2 7" xfId="941"/>
    <cellStyle name="输入 2 7 2" xfId="942"/>
    <cellStyle name="输入 2 7 3" xfId="943"/>
    <cellStyle name="输入 2 8" xfId="944"/>
    <cellStyle name="输入 2 8 2" xfId="945"/>
    <cellStyle name="输入 2 8 3" xfId="946"/>
    <cellStyle name="输入 2 9" xfId="947"/>
    <cellStyle name="输入 2 9 2" xfId="948"/>
    <cellStyle name="输入 2 9 3" xfId="949"/>
    <cellStyle name="輸出" xfId="950"/>
    <cellStyle name="輸出 10" xfId="951"/>
    <cellStyle name="輸出 11" xfId="952"/>
    <cellStyle name="輸出 12" xfId="953"/>
    <cellStyle name="輸出 2" xfId="954"/>
    <cellStyle name="輸出 2 2" xfId="955"/>
    <cellStyle name="輸出 2 3" xfId="956"/>
    <cellStyle name="輸出 3" xfId="957"/>
    <cellStyle name="輸出 3 2" xfId="958"/>
    <cellStyle name="輸出 3 3" xfId="959"/>
    <cellStyle name="輸出 4" xfId="960"/>
    <cellStyle name="輸出 4 2" xfId="961"/>
    <cellStyle name="輸出 4 3" xfId="962"/>
    <cellStyle name="輸出 5" xfId="963"/>
    <cellStyle name="輸出 5 2" xfId="964"/>
    <cellStyle name="輸出 5 3" xfId="965"/>
    <cellStyle name="輸出 6" xfId="966"/>
    <cellStyle name="輸出 6 2" xfId="967"/>
    <cellStyle name="輸出 6 3" xfId="968"/>
    <cellStyle name="輸出 7" xfId="969"/>
    <cellStyle name="輸出 7 2" xfId="970"/>
    <cellStyle name="輸出 7 3" xfId="971"/>
    <cellStyle name="輸出 8" xfId="972"/>
    <cellStyle name="輸出 8 2" xfId="973"/>
    <cellStyle name="輸出 8 3" xfId="974"/>
    <cellStyle name="輸出 9" xfId="975"/>
    <cellStyle name="輸出 9 2" xfId="976"/>
    <cellStyle name="輸出 9 3" xfId="977"/>
    <cellStyle name="輸入" xfId="978"/>
    <cellStyle name="輸入 10" xfId="979"/>
    <cellStyle name="輸入 11" xfId="980"/>
    <cellStyle name="輸入 12" xfId="981"/>
    <cellStyle name="輸入 2" xfId="982"/>
    <cellStyle name="輸入 2 2" xfId="983"/>
    <cellStyle name="輸入 2 3" xfId="984"/>
    <cellStyle name="輸入 3" xfId="985"/>
    <cellStyle name="輸入 3 2" xfId="986"/>
    <cellStyle name="輸入 3 3" xfId="987"/>
    <cellStyle name="輸入 4" xfId="988"/>
    <cellStyle name="輸入 4 2" xfId="989"/>
    <cellStyle name="輸入 4 3" xfId="990"/>
    <cellStyle name="輸入 5" xfId="991"/>
    <cellStyle name="輸入 5 2" xfId="992"/>
    <cellStyle name="輸入 5 3" xfId="993"/>
    <cellStyle name="輸入 6" xfId="994"/>
    <cellStyle name="輸入 6 2" xfId="995"/>
    <cellStyle name="輸入 6 3" xfId="996"/>
    <cellStyle name="輸入 7" xfId="997"/>
    <cellStyle name="輸入 7 2" xfId="998"/>
    <cellStyle name="輸入 7 3" xfId="999"/>
    <cellStyle name="輸入 8" xfId="1000"/>
    <cellStyle name="輸入 8 2" xfId="1001"/>
    <cellStyle name="輸入 8 3" xfId="1002"/>
    <cellStyle name="輸入 9" xfId="1003"/>
    <cellStyle name="輸入 9 2" xfId="1004"/>
    <cellStyle name="輸入 9 3" xfId="1005"/>
    <cellStyle name="說明文字" xfId="1006"/>
    <cellStyle name="說明文字 2" xfId="1007"/>
    <cellStyle name="說明文字 3" xfId="1008"/>
    <cellStyle name="說明文字 4" xfId="1009"/>
    <cellStyle name="說明文字 5" xfId="1010"/>
    <cellStyle name="說明文字 6" xfId="1011"/>
    <cellStyle name="說明文字 7" xfId="1012"/>
    <cellStyle name="說明文字 8" xfId="1013"/>
    <cellStyle name="說明文字 9" xfId="1014"/>
    <cellStyle name="未定義" xfId="1015"/>
    <cellStyle name="未定義 2" xfId="1016"/>
    <cellStyle name="未定義 3" xfId="1017"/>
    <cellStyle name="未定義 4" xfId="1018"/>
    <cellStyle name="未定義 5" xfId="1019"/>
    <cellStyle name="未定義 6" xfId="1020"/>
    <cellStyle name="未定義 7" xfId="1021"/>
    <cellStyle name="样式 1" xfId="1022"/>
    <cellStyle name="样式 1 2" xfId="1023"/>
    <cellStyle name="样式 1 2 2" xfId="1024"/>
    <cellStyle name="样式 1 3" xfId="1025"/>
    <cellStyle name="样式 1 4" xfId="1026"/>
    <cellStyle name="样式 1 5" xfId="1027"/>
    <cellStyle name="样式 1 6" xfId="1028"/>
    <cellStyle name="样式 1 7" xfId="1029"/>
    <cellStyle name="一般_2004 PF China forecast on Global Sino's reels" xfId="1030"/>
    <cellStyle name="믅됞 [0.00]_PRODUCT DETAIL Q1" xfId="1031"/>
    <cellStyle name="믅됞_PRODUCT DETAIL Q1" xfId="1032"/>
    <cellStyle name="백분율_HOBONG" xfId="1033"/>
    <cellStyle name="中等" xfId="1034"/>
    <cellStyle name="中等 2" xfId="1035"/>
    <cellStyle name="中等 3" xfId="1036"/>
    <cellStyle name="中等 4" xfId="1037"/>
    <cellStyle name="中等 5" xfId="1038"/>
    <cellStyle name="中等 6" xfId="1039"/>
    <cellStyle name="中等 7" xfId="1040"/>
    <cellStyle name="中等 8" xfId="1041"/>
    <cellStyle name="注释 2" xfId="1042"/>
    <cellStyle name="注释 2 2" xfId="1043"/>
    <cellStyle name="注释 2 3" xfId="1044"/>
    <cellStyle name="注释 2 4" xfId="1045"/>
    <cellStyle name="注释 2 5" xfId="1046"/>
    <cellStyle name="注释 2 6" xfId="1047"/>
    <cellStyle name="注释 2 7" xfId="1048"/>
    <cellStyle name="注释 2 8" xfId="1049"/>
    <cellStyle name="注释 2 9" xfId="1050"/>
    <cellStyle name="뷭?_BOOKSHIP" xfId="1051"/>
    <cellStyle name="콤마 [0]_1202" xfId="1052"/>
    <cellStyle name="콤마_1202" xfId="1053"/>
    <cellStyle name="통화 [0]_1202_~0048373" xfId="1054"/>
    <cellStyle name="통화_1202_~0048373" xfId="1055"/>
    <cellStyle name="표준_(정보부문)월별인원계획" xfId="1056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918-831-6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topLeftCell="A12" workbookViewId="0">
      <selection activeCell="E16" sqref="E16"/>
    </sheetView>
  </sheetViews>
  <sheetFormatPr defaultColWidth="9" defaultRowHeight="11.5"/>
  <cols>
    <col min="1" max="1" width="17" style="2" customWidth="1"/>
    <col min="2" max="2" width="10.875" style="2" customWidth="1"/>
    <col min="3" max="3" width="22.5" style="2" customWidth="1"/>
    <col min="4" max="4" width="10.375" style="2" customWidth="1"/>
    <col min="5" max="5" width="28.5" style="2" customWidth="1"/>
    <col min="6" max="6" width="14.875" style="2" customWidth="1"/>
    <col min="7" max="7" width="15.375" style="2" customWidth="1"/>
    <col min="8" max="8" width="21.375" style="2" customWidth="1"/>
    <col min="9" max="16384" width="9" style="2"/>
  </cols>
  <sheetData>
    <row r="1" s="1" customFormat="1" ht="25.5" customHeight="1" spans="1:10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15" customHeight="1" spans="1:10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15" customHeight="1" spans="1:10">
      <c r="A3" s="5"/>
      <c r="B3" s="5"/>
      <c r="C3" s="5"/>
      <c r="D3" s="5"/>
      <c r="E3" s="5"/>
      <c r="F3" s="5"/>
      <c r="G3" s="5"/>
      <c r="H3" s="5"/>
    </row>
    <row r="4" s="1" customFormat="1" ht="24.95" customHeight="1" spans="1:10">
      <c r="A4" s="6" t="s">
        <v>2</v>
      </c>
      <c r="B4" s="6"/>
      <c r="C4" s="6"/>
      <c r="D4" s="6"/>
      <c r="E4" s="6"/>
      <c r="F4" s="6"/>
      <c r="G4" s="6"/>
      <c r="H4" s="6"/>
    </row>
    <row r="5" s="1" customFormat="1" ht="15.95" customHeight="1" spans="1:10">
      <c r="A5" s="7"/>
      <c r="B5" s="8"/>
      <c r="E5" s="9"/>
      <c r="F5" s="10"/>
      <c r="G5" s="11"/>
      <c r="H5" s="11"/>
    </row>
    <row r="6" s="1" customFormat="1" ht="40" customHeight="1" spans="1:10">
      <c r="A6" s="12" t="s">
        <v>3</v>
      </c>
      <c r="B6" s="12"/>
      <c r="C6" s="12"/>
      <c r="D6" s="13" t="s">
        <v>4</v>
      </c>
      <c r="E6" s="14"/>
      <c r="F6" s="15"/>
      <c r="G6" s="16" t="s">
        <v>5</v>
      </c>
      <c r="H6" s="14" t="s">
        <v>6</v>
      </c>
      <c r="I6" s="17" t="s">
        <v>7</v>
      </c>
      <c r="J6" s="18"/>
    </row>
    <row r="7" s="1" customFormat="1" ht="15.95" customHeight="1" spans="1:10">
      <c r="A7" s="12" t="s">
        <v>8</v>
      </c>
      <c r="B7" s="12"/>
      <c r="C7" s="12"/>
      <c r="D7" s="13" t="s">
        <v>4</v>
      </c>
      <c r="E7" s="14"/>
      <c r="F7" s="15"/>
      <c r="G7" s="16" t="s">
        <v>9</v>
      </c>
      <c r="H7" s="19">
        <v>46038</v>
      </c>
      <c r="I7" s="13" t="s">
        <v>10</v>
      </c>
      <c r="J7" s="18"/>
    </row>
    <row r="8" s="1" customFormat="1" ht="15.95" customHeight="1" spans="1:10">
      <c r="A8" s="12" t="s">
        <v>11</v>
      </c>
      <c r="B8" s="12"/>
      <c r="C8" s="12"/>
      <c r="D8" s="13" t="s">
        <v>4</v>
      </c>
      <c r="E8" s="14"/>
      <c r="F8" s="15"/>
      <c r="G8" s="16" t="s">
        <v>12</v>
      </c>
      <c r="H8" s="14" t="s">
        <v>13</v>
      </c>
      <c r="I8" s="20"/>
      <c r="J8" s="21" t="s">
        <v>4</v>
      </c>
    </row>
    <row r="9" s="1" customFormat="1" ht="15.95" customHeight="1" spans="1:10">
      <c r="A9" s="22"/>
      <c r="B9" s="22"/>
      <c r="C9" s="12"/>
      <c r="D9" s="23"/>
      <c r="E9" s="14"/>
      <c r="F9" s="24"/>
      <c r="G9" s="24"/>
      <c r="H9" s="25"/>
      <c r="I9" s="20"/>
      <c r="J9" s="18"/>
    </row>
    <row r="10" s="1" customFormat="1" ht="15.95" customHeight="1" spans="1:10">
      <c r="A10" s="26" t="s">
        <v>14</v>
      </c>
      <c r="B10" s="26"/>
      <c r="C10" s="12"/>
      <c r="D10" s="23"/>
      <c r="E10" s="14"/>
      <c r="F10" s="24"/>
      <c r="G10" s="24"/>
      <c r="H10" s="25"/>
      <c r="I10" s="20"/>
      <c r="J10" s="18"/>
    </row>
    <row r="11" s="1" customFormat="1" ht="15.95" customHeight="1" spans="1:10">
      <c r="A11" s="26" t="s">
        <v>15</v>
      </c>
      <c r="B11" s="26"/>
      <c r="C11" s="12"/>
      <c r="D11" s="13" t="s">
        <v>4</v>
      </c>
      <c r="E11" s="14"/>
      <c r="F11" s="15"/>
      <c r="G11" s="12"/>
      <c r="H11" s="24"/>
      <c r="I11" s="24"/>
      <c r="J11" s="27"/>
    </row>
    <row r="12" ht="15.95" customHeight="1" spans="1:10">
      <c r="A12" s="26" t="s">
        <v>16</v>
      </c>
      <c r="B12" s="26"/>
      <c r="C12" s="26"/>
      <c r="D12" s="28" t="s">
        <v>17</v>
      </c>
      <c r="E12" s="14"/>
      <c r="F12" s="15"/>
      <c r="G12" s="12"/>
      <c r="H12" s="20"/>
      <c r="I12" s="29"/>
      <c r="J12" s="18"/>
    </row>
    <row r="13" ht="15.95" customHeight="1" spans="1:10">
      <c r="A13" s="12"/>
      <c r="B13" s="23" t="s">
        <v>18</v>
      </c>
      <c r="C13" s="23" t="s">
        <v>19</v>
      </c>
      <c r="D13" s="23" t="s">
        <v>20</v>
      </c>
      <c r="E13" s="30" t="s">
        <v>21</v>
      </c>
      <c r="F13" s="15" t="s">
        <v>22</v>
      </c>
      <c r="G13" s="12"/>
      <c r="H13" s="31" t="s">
        <v>23</v>
      </c>
      <c r="I13" s="29"/>
      <c r="J13" s="18"/>
    </row>
    <row r="14" ht="15.95" customHeight="1" spans="1:10">
      <c r="A14" s="32"/>
      <c r="B14" s="32"/>
      <c r="C14" s="32" t="s">
        <v>24</v>
      </c>
      <c r="D14" s="32"/>
      <c r="E14" s="33" t="s">
        <v>25</v>
      </c>
      <c r="F14" s="34"/>
      <c r="G14" s="35"/>
      <c r="H14" s="36" t="s">
        <v>26</v>
      </c>
      <c r="I14" s="29"/>
      <c r="J14" s="18"/>
    </row>
    <row r="15" ht="24.95" customHeight="1" spans="1:10">
      <c r="A15" s="12"/>
      <c r="B15" s="17"/>
      <c r="C15" s="37" t="s">
        <v>27</v>
      </c>
      <c r="D15" s="23"/>
      <c r="E15" s="14"/>
      <c r="F15" s="15"/>
      <c r="G15" s="12"/>
      <c r="H15" s="20"/>
      <c r="I15" s="29"/>
      <c r="J15" s="18"/>
    </row>
    <row r="16" ht="23.25" customHeight="1" spans="1:10">
      <c r="A16" s="12"/>
      <c r="B16" s="38"/>
      <c r="C16" s="39" t="s">
        <v>28</v>
      </c>
      <c r="D16" s="23"/>
      <c r="E16" s="40"/>
      <c r="F16" s="41"/>
      <c r="G16" s="41"/>
      <c r="H16" s="42"/>
      <c r="I16" s="29"/>
      <c r="J16" s="18"/>
    </row>
    <row r="17" ht="24.95" customHeight="1" spans="1:10">
      <c r="A17" s="12"/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  <c r="G17" s="17" t="s">
        <v>4</v>
      </c>
      <c r="H17" s="42"/>
      <c r="I17" s="29"/>
      <c r="J17" s="18"/>
    </row>
    <row r="18" ht="15.95" customHeight="1" spans="1:10">
      <c r="A18" s="12"/>
      <c r="B18" s="38">
        <v>4500028983</v>
      </c>
      <c r="C18" s="43" t="s">
        <v>34</v>
      </c>
      <c r="D18" s="43" t="s">
        <v>35</v>
      </c>
      <c r="E18" s="40">
        <v>32.8</v>
      </c>
      <c r="F18" s="41">
        <v>96</v>
      </c>
      <c r="G18" s="44" t="s">
        <v>36</v>
      </c>
      <c r="H18" s="42">
        <f t="shared" ref="H18:H24" si="0">E18*F18</f>
        <v>3148.8</v>
      </c>
      <c r="I18" s="29"/>
      <c r="J18" s="18"/>
    </row>
    <row r="19" ht="24" customHeight="1" spans="1:10">
      <c r="A19" s="12"/>
      <c r="B19" s="38">
        <v>4500028983</v>
      </c>
      <c r="C19" s="43" t="s">
        <v>37</v>
      </c>
      <c r="D19" s="43" t="s">
        <v>38</v>
      </c>
      <c r="E19" s="40">
        <v>33.1</v>
      </c>
      <c r="F19" s="41">
        <v>262</v>
      </c>
      <c r="G19" s="44" t="s">
        <v>36</v>
      </c>
      <c r="H19" s="42">
        <f t="shared" si="0"/>
        <v>8672.2</v>
      </c>
      <c r="I19" s="29"/>
      <c r="J19" s="18"/>
    </row>
    <row r="20" ht="15.95" customHeight="1" spans="1:10">
      <c r="A20" s="12"/>
      <c r="B20" s="38">
        <v>4500028983</v>
      </c>
      <c r="C20" s="43" t="s">
        <v>39</v>
      </c>
      <c r="D20" s="43" t="s">
        <v>40</v>
      </c>
      <c r="E20" s="40">
        <v>34.4</v>
      </c>
      <c r="F20" s="41">
        <v>292</v>
      </c>
      <c r="G20" s="44" t="s">
        <v>36</v>
      </c>
      <c r="H20" s="42">
        <f t="shared" si="0"/>
        <v>10044.8</v>
      </c>
      <c r="I20" s="29"/>
      <c r="J20" s="18"/>
    </row>
    <row r="21" ht="15.95" customHeight="1" spans="1:10">
      <c r="A21" s="12"/>
      <c r="B21" s="38">
        <v>4500028983</v>
      </c>
      <c r="C21" s="43" t="s">
        <v>41</v>
      </c>
      <c r="D21" s="43" t="s">
        <v>42</v>
      </c>
      <c r="E21" s="40">
        <v>37.9</v>
      </c>
      <c r="F21" s="41">
        <v>132</v>
      </c>
      <c r="G21" s="44" t="s">
        <v>36</v>
      </c>
      <c r="H21" s="42">
        <f t="shared" si="0"/>
        <v>5002.8</v>
      </c>
      <c r="I21" s="29"/>
      <c r="J21" s="18"/>
    </row>
    <row r="22" ht="15.95" customHeight="1" spans="1:10">
      <c r="A22" s="12"/>
      <c r="B22" s="38">
        <v>4500028983</v>
      </c>
      <c r="C22" s="43" t="s">
        <v>43</v>
      </c>
      <c r="D22" s="43" t="s">
        <v>44</v>
      </c>
      <c r="E22" s="40">
        <v>40.4</v>
      </c>
      <c r="F22" s="41">
        <f>252+173</f>
        <v>425</v>
      </c>
      <c r="G22" s="44" t="s">
        <v>36</v>
      </c>
      <c r="H22" s="42">
        <f t="shared" si="0"/>
        <v>17170</v>
      </c>
      <c r="I22" s="29"/>
      <c r="J22" s="18"/>
    </row>
    <row r="23" ht="15.95" customHeight="1" spans="1:10">
      <c r="A23" s="12"/>
      <c r="B23" s="38">
        <v>4500030322</v>
      </c>
      <c r="C23" s="43" t="s">
        <v>34</v>
      </c>
      <c r="D23" s="43" t="s">
        <v>35</v>
      </c>
      <c r="E23" s="40">
        <v>32.8</v>
      </c>
      <c r="F23" s="41">
        <v>16</v>
      </c>
      <c r="G23" s="44" t="s">
        <v>36</v>
      </c>
      <c r="H23" s="42">
        <f t="shared" si="0"/>
        <v>524.8</v>
      </c>
      <c r="I23" s="29"/>
      <c r="J23" s="18"/>
    </row>
    <row r="24" ht="15.95" customHeight="1" spans="1:10">
      <c r="A24" s="12"/>
      <c r="B24" s="38">
        <v>4500030322</v>
      </c>
      <c r="C24" s="43" t="s">
        <v>37</v>
      </c>
      <c r="D24" s="43" t="s">
        <v>38</v>
      </c>
      <c r="E24" s="40">
        <v>33.1</v>
      </c>
      <c r="F24" s="41">
        <v>54</v>
      </c>
      <c r="G24" s="44" t="s">
        <v>36</v>
      </c>
      <c r="H24" s="42">
        <f t="shared" si="0"/>
        <v>1787.4</v>
      </c>
      <c r="I24" s="29"/>
      <c r="J24" s="18"/>
    </row>
    <row r="25" ht="15.5" spans="1:10">
      <c r="A25" s="12"/>
      <c r="B25" s="38"/>
      <c r="C25" s="43"/>
      <c r="D25" s="43"/>
      <c r="E25" s="40"/>
      <c r="F25" s="41"/>
      <c r="G25" s="44"/>
      <c r="H25" s="42"/>
      <c r="I25" s="29"/>
      <c r="J25" s="18"/>
    </row>
    <row r="26" ht="15.5" spans="1:10">
      <c r="A26" s="35"/>
      <c r="B26" s="35"/>
      <c r="C26" s="35"/>
      <c r="D26" s="32"/>
      <c r="E26" s="45"/>
      <c r="F26" s="34"/>
      <c r="G26" s="35"/>
      <c r="H26" s="36"/>
      <c r="I26" s="29"/>
      <c r="J26" s="18"/>
    </row>
    <row r="27" ht="15.5" spans="1:10">
      <c r="A27" s="22" t="s">
        <v>23</v>
      </c>
      <c r="B27" s="22"/>
      <c r="C27" s="12"/>
      <c r="D27" s="23"/>
      <c r="E27" s="14"/>
      <c r="F27" s="46">
        <f>SUM(F16:F26)</f>
        <v>1277</v>
      </c>
      <c r="G27" s="12" t="s">
        <v>36</v>
      </c>
      <c r="H27" s="47">
        <f>SUM(H16:H26)</f>
        <v>46350.8</v>
      </c>
      <c r="I27" s="29"/>
      <c r="J27" s="18"/>
    </row>
    <row r="28" ht="15.5" spans="1:10">
      <c r="A28" s="22"/>
      <c r="B28" s="22"/>
      <c r="C28" s="22"/>
      <c r="D28" s="30"/>
      <c r="E28" s="14"/>
      <c r="F28" s="15"/>
      <c r="G28" s="12"/>
      <c r="H28" s="48"/>
      <c r="I28" s="29"/>
      <c r="J28" s="18"/>
    </row>
    <row r="29" ht="15.5" spans="1:10">
      <c r="A29" s="49" t="s">
        <v>45</v>
      </c>
      <c r="B29" s="49"/>
      <c r="C29" s="14"/>
      <c r="D29" s="30"/>
      <c r="E29" s="14"/>
      <c r="F29" s="15"/>
      <c r="G29" s="12"/>
      <c r="H29" s="24"/>
      <c r="I29" s="25"/>
      <c r="J29" s="18"/>
    </row>
    <row r="30" ht="15.5" spans="1:10">
      <c r="A30" s="49" t="s">
        <v>46</v>
      </c>
      <c r="B30" s="49"/>
      <c r="C30" s="50" t="s">
        <v>47</v>
      </c>
      <c r="D30" s="30"/>
      <c r="E30" s="14"/>
      <c r="F30" s="15"/>
      <c r="G30" s="12"/>
      <c r="H30" s="24"/>
      <c r="I30" s="25"/>
      <c r="J30" s="18"/>
    </row>
    <row r="31" ht="15.5" spans="1:10">
      <c r="A31" s="49" t="s">
        <v>48</v>
      </c>
      <c r="B31" s="12"/>
      <c r="C31" s="12"/>
      <c r="D31" s="23"/>
      <c r="E31" s="14"/>
      <c r="F31" s="15"/>
      <c r="G31" s="12"/>
      <c r="H31" s="24"/>
      <c r="I31" s="24"/>
      <c r="J31" s="27"/>
    </row>
    <row r="32" ht="15.5" spans="1:10">
      <c r="A32" s="12"/>
      <c r="B32" s="12"/>
      <c r="C32" s="12"/>
      <c r="D32" s="23"/>
      <c r="E32" s="14"/>
      <c r="F32" s="15"/>
      <c r="G32" s="12"/>
      <c r="H32" s="24"/>
      <c r="I32" s="24"/>
      <c r="J32" s="27"/>
    </row>
  </sheetData>
  <mergeCells count="3">
    <mergeCell ref="A1:H1"/>
    <mergeCell ref="A2:H2"/>
    <mergeCell ref="A4:H4"/>
  </mergeCells>
  <hyperlinks>
    <hyperlink ref="A8" r:id="rId1" display=" SINGAPORE 417868"/>
  </hyperlinks>
  <printOptions horizontalCentered="1"/>
  <pageMargins left="0.196850393700787" right="0.236220472440945" top="0.275590551181102" bottom="0.31496062992126" header="0.236220472440945" footer="0.196850393700787"/>
  <pageSetup paperSize="1" scale="65" orientation="portrait" verticalDpi="203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PF Standard Invoice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Joyce</cp:lastModifiedBy>
  <dcterms:created xsi:type="dcterms:W3CDTF">2014-04-21T05:59:00Z</dcterms:created>
  <cp:lastPrinted>2025-05-09T02:53:00Z</cp:lastPrinted>
  <dcterms:modified xsi:type="dcterms:W3CDTF">2026-02-09T05:59:15Z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BAA4C014D32B48329D40F248951E83B8_13</vt:lpwstr>
  </property>
  <property fmtid="{D5CDD505-2E9C-101B-9397-08002B2CF9AE}" pid="4" name="CalculationRule">
    <vt:i4>0</vt:i4>
  </property>
</Properties>
</file>