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PL" sheetId="53286" r:id="rId1"/>
  </sheets>
  <definedNames>
    <definedName name="_xlnm._FilterDatabase" localSheetId="0" hidden="1">PL!$A$17:$M$19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<sst xmlns="http://schemas.openxmlformats.org/spreadsheetml/2006/main" count="65" uniqueCount="32">
  <si>
    <t>WEIHAI E-MAX SPORT APPARATUS CO.,LTD </t>
  </si>
  <si>
    <t>NO.25 TONGYI NORTH ROAD,HUANCUI DISTRICT, WEIHAI, SHANDONG, CHINA.</t>
  </si>
  <si>
    <t>PACKING LIST</t>
  </si>
  <si>
    <t xml:space="preserve">C/T#:                    </t>
  </si>
  <si>
    <t>Invoice No.</t>
  </si>
  <si>
    <t>MADE IN CHINA</t>
  </si>
  <si>
    <t>SAP PO#</t>
  </si>
  <si>
    <t>Description of Goods</t>
  </si>
  <si>
    <t>SAP ITEM#</t>
  </si>
  <si>
    <t>Quantity</t>
  </si>
  <si>
    <t>Net Weight</t>
  </si>
  <si>
    <t>Gross Weight</t>
  </si>
  <si>
    <t>Measurement</t>
  </si>
  <si>
    <t>CTNS</t>
  </si>
  <si>
    <t>FISHING REELS (1277PCS,1001.21KGS)</t>
  </si>
  <si>
    <t>CB2500.B2</t>
  </si>
  <si>
    <t>21-44640</t>
  </si>
  <si>
    <t>PCS</t>
  </si>
  <si>
    <t>KGS</t>
  </si>
  <si>
    <t>CBM</t>
  </si>
  <si>
    <t>CB3000.B2</t>
  </si>
  <si>
    <t>21-44641</t>
  </si>
  <si>
    <t>CB4000.B2</t>
  </si>
  <si>
    <t>21-44642</t>
  </si>
  <si>
    <t>CB6000.B2</t>
  </si>
  <si>
    <t>21-44644</t>
  </si>
  <si>
    <t>CB8000.B2</t>
  </si>
  <si>
    <t>21-44645</t>
  </si>
  <si>
    <t>TOTAL:</t>
  </si>
  <si>
    <t>ORIGIN IN CHINA</t>
  </si>
  <si>
    <t>PACKED IN 88 CTNS</t>
  </si>
  <si>
    <t>THERE IS NO SOLID WOOD PACKING MATERIAL IN THIS SHIPMENT.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</si>
</sst>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  <numFmt numFmtId="177" formatCode="&quot;\&quot;#,##0;&quot;\&quot;&quot;\&quot;&quot;\&quot;&quot;\&quot;\-#,##0"/>
    <numFmt numFmtId="178" formatCode="&quot;\&quot;#,##0;[Red]&quot;\&quot;&quot;\&quot;\-#,##0"/>
    <numFmt numFmtId="179" formatCode="&quot;\&quot;#,##0.00;[Red]&quot;\&quot;&quot;\&quot;&quot;\&quot;&quot;\&quot;&quot;\&quot;&quot;\&quot;\-#,##0.00"/>
    <numFmt numFmtId="180" formatCode="&quot;\&quot;#,##0;[Red]&quot;\&quot;\-#,##0"/>
    <numFmt numFmtId="181" formatCode="[$-409]d/mmm/yy;@"/>
    <numFmt numFmtId="182" formatCode="0.0_);[Red]\(0.0\)"/>
    <numFmt numFmtId="183" formatCode="0.00_);[Red]\(0.00\)"/>
    <numFmt numFmtId="184" formatCode="yyyy/m/d;@"/>
    <numFmt numFmtId="185" formatCode="0_);\(0\)"/>
    <numFmt numFmtId="186" formatCode="0_);[Red]\(0\)"/>
    <numFmt numFmtId="187" formatCode="0.00_ "/>
  </numFmts>
  <fonts count="76">
    <font>
      <sz val="10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12"/>
      <name val="宋体"/>
      <charset val="134"/>
    </font>
    <font>
      <b/>
      <sz val="18"/>
      <name val="Arial"/>
      <charset val="134"/>
    </font>
    <font>
      <b/>
      <sz val="18"/>
      <name val="Berlin Sans FB Demi"/>
      <charset val="134"/>
    </font>
    <font>
      <b/>
      <sz val="22"/>
      <name val="Arial"/>
      <charset val="134"/>
    </font>
    <font>
      <sz val="12"/>
      <name val="Times New Roman"/>
      <charset val="0"/>
    </font>
    <font>
      <b/>
      <sz val="10"/>
      <name val="Arial"/>
      <charset val="0"/>
    </font>
    <font>
      <u/>
      <sz val="12"/>
      <name val="Times New Roman"/>
      <charset val="0"/>
    </font>
    <font>
      <sz val="12"/>
      <color rgb="FF00B0F0"/>
      <name val="Times New Roman"/>
      <charset val="0"/>
    </font>
    <font>
      <sz val="12"/>
      <color rgb="FF00B0F0"/>
      <name val="宋体"/>
      <charset val="134"/>
    </font>
    <font>
      <b/>
      <sz val="12"/>
      <name val="Times New Roman"/>
      <charset val="0"/>
    </font>
    <font>
      <sz val="9"/>
      <color rgb="FF00B0F0"/>
      <name val="Arial"/>
      <charset val="0"/>
    </font>
    <font>
      <b/>
      <sz val="11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6"/>
    </font>
    <font>
      <sz val="11"/>
      <color indexed="8"/>
      <name val="宋体"/>
      <charset val="134"/>
    </font>
    <font>
      <sz val="12"/>
      <name val="新細明體"/>
      <charset val="136"/>
    </font>
    <font>
      <sz val="12"/>
      <color indexed="9"/>
      <name val="新細明體"/>
      <charset val="136"/>
    </font>
    <font>
      <sz val="11"/>
      <color indexed="9"/>
      <name val="宋体"/>
      <charset val="134"/>
    </font>
    <font>
      <b/>
      <sz val="12"/>
      <name val="Arial"/>
      <charset val="134"/>
    </font>
    <font>
      <sz val="10"/>
      <name val="Frugal Sans"/>
      <charset val="134"/>
    </font>
    <font>
      <sz val="10"/>
      <color indexed="8"/>
      <name val="Arial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8"/>
      <color indexed="62"/>
      <name val="新細明體"/>
      <charset val="136"/>
    </font>
    <font>
      <b/>
      <sz val="15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1"/>
      <name val="ＭＳ Ｐゴシック"/>
      <charset val="134"/>
    </font>
    <font>
      <sz val="11"/>
      <color indexed="8"/>
      <name val="ＭＳ Ｐゴシック"/>
      <charset val="134"/>
    </font>
    <font>
      <sz val="11"/>
      <color indexed="20"/>
      <name val="宋体"/>
      <charset val="134"/>
    </font>
    <font>
      <sz val="12"/>
      <color indexed="17"/>
      <name val="新細明體"/>
      <charset val="136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2"/>
      <color indexed="10"/>
      <name val="新細明體"/>
      <charset val="136"/>
    </font>
    <font>
      <b/>
      <sz val="11"/>
      <color indexed="9"/>
      <name val="宋体"/>
      <charset val="134"/>
    </font>
    <font>
      <b/>
      <sz val="12"/>
      <color indexed="9"/>
      <name val="新細明體"/>
      <charset val="136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2"/>
      <color indexed="10"/>
      <name val="新細明體"/>
      <charset val="136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name val="Courier"/>
      <charset val="134"/>
    </font>
    <font>
      <sz val="12"/>
      <color indexed="19"/>
      <name val="新細明體"/>
      <charset val="136"/>
    </font>
    <font>
      <sz val="12"/>
      <name val="뼻뮝"/>
      <charset val="134"/>
    </font>
    <font>
      <sz val="10"/>
      <name val="굴림체"/>
      <charset val="129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67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5" borderId="6" applyNumberFormat="0" applyAlignment="0" applyProtection="0">
      <alignment vertical="center"/>
    </xf>
    <xf numFmtId="0" fontId="27" fillId="6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0" fillId="0" borderId="0"/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0" borderId="0"/>
    <xf numFmtId="0" fontId="0" fillId="0" borderId="0"/>
    <xf numFmtId="0" fontId="3" fillId="0" borderId="0"/>
    <xf numFmtId="0" fontId="37" fillId="0" borderId="0"/>
    <xf numFmtId="0" fontId="35" fillId="38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0" fillId="0" borderId="0"/>
    <xf numFmtId="0" fontId="3" fillId="0" borderId="0"/>
    <xf numFmtId="0" fontId="3" fillId="0" borderId="0"/>
    <xf numFmtId="0" fontId="41" fillId="0" borderId="0">
      <alignment vertical="center"/>
    </xf>
    <xf numFmtId="0" fontId="0" fillId="0" borderId="0"/>
    <xf numFmtId="0" fontId="42" fillId="0" borderId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0" fillId="36" borderId="12" applyNumberFormat="0" applyFon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2" fillId="0" borderId="0">
      <alignment vertical="center"/>
    </xf>
    <xf numFmtId="0" fontId="0" fillId="0" borderId="0"/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0" fillId="0" borderId="0"/>
    <xf numFmtId="0" fontId="36" fillId="0" borderId="0"/>
    <xf numFmtId="0" fontId="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/>
    <xf numFmtId="0" fontId="37" fillId="0" borderId="0"/>
    <xf numFmtId="0" fontId="0" fillId="0" borderId="0"/>
    <xf numFmtId="0" fontId="36" fillId="0" borderId="0"/>
    <xf numFmtId="0" fontId="38" fillId="5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54" borderId="21" applyNumberFormat="0" applyAlignment="0" applyProtection="0">
      <alignment vertical="center"/>
    </xf>
    <xf numFmtId="0" fontId="58" fillId="54" borderId="21" applyNumberFormat="0" applyAlignment="0" applyProtection="0">
      <alignment vertical="center"/>
    </xf>
    <xf numFmtId="0" fontId="58" fillId="54" borderId="21" applyNumberFormat="0" applyAlignment="0" applyProtection="0">
      <alignment vertical="center"/>
    </xf>
    <xf numFmtId="0" fontId="59" fillId="55" borderId="21" applyNumberFormat="0" applyAlignment="0" applyProtection="0">
      <alignment vertical="center"/>
    </xf>
    <xf numFmtId="0" fontId="60" fillId="56" borderId="22" applyNumberFormat="0" applyAlignment="0" applyProtection="0">
      <alignment vertical="center"/>
    </xf>
    <xf numFmtId="0" fontId="60" fillId="56" borderId="22" applyNumberFormat="0" applyAlignment="0" applyProtection="0">
      <alignment vertical="center"/>
    </xf>
    <xf numFmtId="0" fontId="60" fillId="56" borderId="22" applyNumberFormat="0" applyAlignment="0" applyProtection="0">
      <alignment vertical="center"/>
    </xf>
    <xf numFmtId="0" fontId="61" fillId="56" borderId="22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23" applyNumberFormat="0" applyFill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9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54" borderId="25" applyNumberFormat="0" applyAlignment="0" applyProtection="0">
      <alignment vertical="center"/>
    </xf>
    <xf numFmtId="0" fontId="67" fillId="54" borderId="25" applyNumberFormat="0" applyAlignment="0" applyProtection="0">
      <alignment vertical="center"/>
    </xf>
    <xf numFmtId="0" fontId="67" fillId="54" borderId="25" applyNumberFormat="0" applyAlignment="0" applyProtection="0">
      <alignment vertical="center"/>
    </xf>
    <xf numFmtId="0" fontId="68" fillId="37" borderId="21" applyNumberFormat="0" applyAlignment="0" applyProtection="0">
      <alignment vertical="center"/>
    </xf>
    <xf numFmtId="0" fontId="68" fillId="37" borderId="21" applyNumberFormat="0" applyAlignment="0" applyProtection="0">
      <alignment vertical="center"/>
    </xf>
    <xf numFmtId="0" fontId="68" fillId="37" borderId="21" applyNumberFormat="0" applyAlignment="0" applyProtection="0">
      <alignment vertical="center"/>
    </xf>
    <xf numFmtId="0" fontId="69" fillId="55" borderId="25" applyNumberFormat="0" applyAlignment="0" applyProtection="0">
      <alignment vertical="center"/>
    </xf>
    <xf numFmtId="0" fontId="70" fillId="43" borderId="21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/>
    <xf numFmtId="0" fontId="0" fillId="0" borderId="0"/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73" fillId="43" borderId="0" applyNumberFormat="0" applyBorder="0" applyAlignment="0" applyProtection="0">
      <alignment vertical="center"/>
    </xf>
    <xf numFmtId="0" fontId="0" fillId="36" borderId="12" applyNumberFormat="0" applyFont="0" applyAlignment="0" applyProtection="0">
      <alignment vertical="center"/>
    </xf>
    <xf numFmtId="0" fontId="74" fillId="0" borderId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75" fillId="0" borderId="0"/>
    <xf numFmtId="0" fontId="3" fillId="0" borderId="0"/>
  </cellStyleXfs>
  <cellXfs count="67">
    <xf numFmtId="0" fontId="0" fillId="0" borderId="0" xfId="0"/>
    <xf numFmtId="181" fontId="1" fillId="2" borderId="0" xfId="0" applyNumberFormat="1" applyFont="1" applyFill="1" applyAlignment="1">
      <alignment vertical="center"/>
    </xf>
    <xf numFmtId="0" fontId="1" fillId="0" borderId="0" xfId="77" applyFont="1" applyAlignment="1" applyProtection="1">
      <alignment vertical="center"/>
      <protection locked="0"/>
    </xf>
    <xf numFmtId="0" fontId="1" fillId="0" borderId="0" xfId="185" applyFont="1" applyAlignment="1" applyProtection="1">
      <alignment vertical="center"/>
      <protection locked="0"/>
    </xf>
    <xf numFmtId="0" fontId="2" fillId="0" borderId="0" xfId="77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182" fontId="3" fillId="0" borderId="0" xfId="0" applyNumberFormat="1" applyFont="1" applyAlignment="1">
      <alignment vertical="center"/>
    </xf>
    <xf numFmtId="183" fontId="3" fillId="0" borderId="0" xfId="0" applyNumberFormat="1" applyFont="1" applyAlignment="1">
      <alignment vertical="center"/>
    </xf>
    <xf numFmtId="181" fontId="4" fillId="2" borderId="0" xfId="0" applyNumberFormat="1" applyFont="1" applyFill="1" applyAlignment="1">
      <alignment horizontal="center" vertical="center"/>
    </xf>
    <xf numFmtId="181" fontId="5" fillId="2" borderId="0" xfId="0" applyNumberFormat="1" applyFont="1" applyFill="1" applyAlignment="1">
      <alignment horizontal="center" vertical="center"/>
    </xf>
    <xf numFmtId="183" fontId="1" fillId="2" borderId="0" xfId="0" applyNumberFormat="1" applyFont="1" applyFill="1" applyAlignment="1">
      <alignment horizontal="center" vertical="center"/>
    </xf>
    <xf numFmtId="183" fontId="1" fillId="2" borderId="0" xfId="0" applyNumberFormat="1" applyFont="1" applyFill="1" applyAlignment="1">
      <alignment vertical="center"/>
    </xf>
    <xf numFmtId="181" fontId="1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Border="1" applyAlignment="1">
      <alignment horizontal="left"/>
    </xf>
    <xf numFmtId="0" fontId="7" fillId="2" borderId="0" xfId="0" applyNumberFormat="1" applyFont="1" applyFill="1" applyBorder="1" applyAlignment="1">
      <alignment horizontal="left"/>
    </xf>
    <xf numFmtId="0" fontId="8" fillId="2" borderId="0" xfId="266" applyFont="1" applyFill="1" applyBorder="1" applyAlignment="1">
      <alignment vertical="center"/>
    </xf>
    <xf numFmtId="1" fontId="7" fillId="2" borderId="0" xfId="0" applyNumberFormat="1" applyFont="1" applyFill="1" applyBorder="1" applyAlignment="1"/>
    <xf numFmtId="0" fontId="7" fillId="2" borderId="0" xfId="0" applyNumberFormat="1" applyFont="1" applyFill="1" applyBorder="1" applyAlignment="1">
      <alignment shrinkToFit="1"/>
    </xf>
    <xf numFmtId="183" fontId="7" fillId="2" borderId="0" xfId="0" applyNumberFormat="1" applyFont="1" applyFill="1" applyBorder="1" applyAlignment="1"/>
    <xf numFmtId="183" fontId="7" fillId="2" borderId="0" xfId="0" applyNumberFormat="1" applyFont="1" applyFill="1" applyBorder="1" applyAlignment="1">
      <alignment horizontal="left"/>
    </xf>
    <xf numFmtId="183" fontId="9" fillId="2" borderId="0" xfId="0" applyNumberFormat="1" applyFont="1" applyFill="1" applyBorder="1" applyAlignment="1">
      <alignment shrinkToFit="1"/>
    </xf>
    <xf numFmtId="184" fontId="10" fillId="2" borderId="0" xfId="0" applyNumberFormat="1" applyFont="1" applyFill="1" applyBorder="1" applyAlignment="1">
      <alignment horizontal="center" vertical="center" shrinkToFit="1"/>
    </xf>
    <xf numFmtId="0" fontId="7" fillId="2" borderId="0" xfId="0" applyFont="1" applyFill="1" applyBorder="1" applyAlignment="1">
      <alignment shrinkToFit="1"/>
    </xf>
    <xf numFmtId="0" fontId="7" fillId="2" borderId="0" xfId="0" applyFont="1" applyFill="1" applyBorder="1" applyAlignment="1">
      <alignment horizontal="center" shrinkToFit="1"/>
    </xf>
    <xf numFmtId="183" fontId="7" fillId="2" borderId="0" xfId="0" applyNumberFormat="1" applyFont="1" applyFill="1" applyBorder="1" applyAlignment="1">
      <alignment horizontal="left" shrinkToFit="1"/>
    </xf>
    <xf numFmtId="49" fontId="7" fillId="2" borderId="0" xfId="0" applyNumberFormat="1" applyFont="1" applyFill="1" applyBorder="1" applyAlignment="1"/>
    <xf numFmtId="0" fontId="7" fillId="2" borderId="0" xfId="0" applyNumberFormat="1" applyFont="1" applyFill="1" applyBorder="1" applyAlignment="1"/>
    <xf numFmtId="183" fontId="7" fillId="2" borderId="0" xfId="0" applyNumberFormat="1" applyFont="1" applyFill="1" applyBorder="1" applyAlignment="1">
      <alignment shrinkToFit="1"/>
    </xf>
    <xf numFmtId="0" fontId="7" fillId="2" borderId="0" xfId="0" applyFont="1" applyFill="1" applyBorder="1" applyAlignment="1">
      <alignment horizontal="left" shrinkToFit="1"/>
    </xf>
    <xf numFmtId="0" fontId="7" fillId="2" borderId="1" xfId="0" applyFont="1" applyFill="1" applyBorder="1" applyAlignment="1"/>
    <xf numFmtId="0" fontId="7" fillId="2" borderId="1" xfId="0" applyNumberFormat="1" applyFont="1" applyFill="1" applyBorder="1" applyAlignment="1"/>
    <xf numFmtId="0" fontId="7" fillId="2" borderId="1" xfId="0" applyFont="1" applyFill="1" applyBorder="1" applyAlignment="1">
      <alignment horizontal="center"/>
    </xf>
    <xf numFmtId="183" fontId="7" fillId="2" borderId="1" xfId="0" applyNumberFormat="1" applyFont="1" applyFill="1" applyBorder="1" applyAlignment="1">
      <alignment horizontal="center"/>
    </xf>
    <xf numFmtId="183" fontId="7" fillId="2" borderId="1" xfId="0" applyNumberFormat="1" applyFont="1" applyFill="1" applyBorder="1" applyAlignment="1">
      <alignment horizontal="center" shrinkToFit="1"/>
    </xf>
    <xf numFmtId="0" fontId="11" fillId="2" borderId="0" xfId="0" applyFont="1" applyFill="1" applyBorder="1" applyAlignment="1">
      <alignment horizontal="left" vertical="center"/>
    </xf>
    <xf numFmtId="0" fontId="7" fillId="2" borderId="0" xfId="0" applyNumberFormat="1" applyFont="1" applyFill="1" applyBorder="1" applyAlignment="1">
      <alignment horizontal="center" shrinkToFit="1"/>
    </xf>
    <xf numFmtId="0" fontId="7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/>
    <xf numFmtId="0" fontId="7" fillId="2" borderId="0" xfId="0" applyFont="1" applyFill="1" applyBorder="1" applyAlignment="1">
      <alignment horizontal="left" vertical="center"/>
    </xf>
    <xf numFmtId="185" fontId="7" fillId="2" borderId="0" xfId="0" applyNumberFormat="1" applyFont="1" applyFill="1" applyBorder="1" applyAlignment="1">
      <alignment horizontal="center" vertical="center"/>
    </xf>
    <xf numFmtId="183" fontId="7" fillId="2" borderId="0" xfId="0" applyNumberFormat="1" applyFont="1" applyFill="1" applyBorder="1" applyAlignment="1">
      <alignment horizontal="center" vertical="center"/>
    </xf>
    <xf numFmtId="183" fontId="7" fillId="2" borderId="0" xfId="0" applyNumberFormat="1" applyFont="1" applyFill="1" applyBorder="1" applyAlignment="1">
      <alignment horizontal="center"/>
    </xf>
    <xf numFmtId="181" fontId="13" fillId="2" borderId="0" xfId="0" applyNumberFormat="1" applyFont="1" applyFill="1" applyBorder="1" applyAlignment="1">
      <alignment horizontal="left" vertical="center" wrapText="1"/>
    </xf>
    <xf numFmtId="183" fontId="11" fillId="2" borderId="0" xfId="0" applyNumberFormat="1" applyFont="1" applyFill="1" applyBorder="1" applyAlignment="1">
      <alignment horizontal="center" vertical="center"/>
    </xf>
    <xf numFmtId="185" fontId="10" fillId="2" borderId="0" xfId="0" applyNumberFormat="1" applyFont="1" applyFill="1" applyBorder="1" applyAlignment="1">
      <alignment horizontal="center" vertical="center"/>
    </xf>
    <xf numFmtId="186" fontId="7" fillId="2" borderId="0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/>
    <xf numFmtId="0" fontId="7" fillId="2" borderId="2" xfId="0" applyNumberFormat="1" applyFont="1" applyFill="1" applyBorder="1" applyAlignment="1"/>
    <xf numFmtId="0" fontId="7" fillId="2" borderId="2" xfId="0" applyFont="1" applyFill="1" applyBorder="1" applyAlignment="1">
      <alignment horizontal="left"/>
    </xf>
    <xf numFmtId="183" fontId="7" fillId="2" borderId="2" xfId="0" applyNumberFormat="1" applyFont="1" applyFill="1" applyBorder="1" applyAlignment="1"/>
    <xf numFmtId="183" fontId="7" fillId="2" borderId="2" xfId="0" applyNumberFormat="1" applyFont="1" applyFill="1" applyBorder="1" applyAlignment="1">
      <alignment horizontal="left"/>
    </xf>
    <xf numFmtId="187" fontId="7" fillId="2" borderId="2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0" xfId="0" applyFont="1" applyFill="1" applyBorder="1" applyAlignment="1"/>
    <xf numFmtId="0" fontId="7" fillId="2" borderId="0" xfId="0" applyFont="1" applyFill="1" applyBorder="1" applyAlignment="1">
      <alignment horizontal="center"/>
    </xf>
    <xf numFmtId="187" fontId="7" fillId="2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NumberFormat="1" applyFont="1" applyFill="1" applyBorder="1" applyAlignment="1"/>
    <xf numFmtId="183" fontId="7" fillId="0" borderId="0" xfId="0" applyNumberFormat="1" applyFont="1" applyFill="1" applyBorder="1" applyAlignment="1">
      <alignment horizontal="left" shrinkToFit="1"/>
    </xf>
    <xf numFmtId="183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center"/>
    </xf>
    <xf numFmtId="0" fontId="14" fillId="0" borderId="0" xfId="0" applyNumberFormat="1" applyFont="1"/>
    <xf numFmtId="1" fontId="7" fillId="0" borderId="0" xfId="0" applyNumberFormat="1" applyFont="1" applyFill="1" applyBorder="1" applyAlignment="1">
      <alignment horizontal="left"/>
    </xf>
    <xf numFmtId="0" fontId="11" fillId="0" borderId="0" xfId="0" applyFont="1" applyFill="1" applyBorder="1" applyAlignment="1"/>
  </cellXfs>
  <cellStyles count="2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輔色1" xfId="50"/>
    <cellStyle name="20% - 輔色2" xfId="51"/>
    <cellStyle name="20% - 輔色3" xfId="52"/>
    <cellStyle name="20% - 輔色4" xfId="53"/>
    <cellStyle name="20% - 輔色5" xfId="54"/>
    <cellStyle name="20% - 輔色6" xfId="55"/>
    <cellStyle name="20% - 强调文字颜色 1 2" xfId="56"/>
    <cellStyle name="20% - 强调文字颜色 1 2 2" xfId="57"/>
    <cellStyle name="20% - 强调文字颜色 1 3" xfId="58"/>
    <cellStyle name="20% - 强调文字颜色 2 2" xfId="59"/>
    <cellStyle name="20% - 强调文字颜色 2 2 2" xfId="60"/>
    <cellStyle name="20% - 强调文字颜色 2 3" xfId="61"/>
    <cellStyle name="20% - 强调文字颜色 3 2" xfId="62"/>
    <cellStyle name="20% - 强调文字颜色 3 2 2" xfId="63"/>
    <cellStyle name="20% - 强调文字颜色 3 3" xfId="64"/>
    <cellStyle name="20% - 强调文字颜色 4 2" xfId="65"/>
    <cellStyle name="20% - 强调文字颜色 4 2 2" xfId="66"/>
    <cellStyle name="20% - 强调文字颜色 4 3" xfId="67"/>
    <cellStyle name="20% - 强调文字颜色 5 2" xfId="68"/>
    <cellStyle name="20% - 强调文字颜色 5 2 2" xfId="69"/>
    <cellStyle name="20% - 强调文字颜色 5 3" xfId="70"/>
    <cellStyle name="20% - 强调文字颜色 6 2" xfId="71"/>
    <cellStyle name="20% - 强调文字颜色 6 2 2" xfId="72"/>
    <cellStyle name="20% - 强调文字颜色 6 3" xfId="73"/>
    <cellStyle name="25*62*210" xfId="74"/>
    <cellStyle name="25*62*210 2" xfId="75"/>
    <cellStyle name="25*62*210 2 2" xfId="76"/>
    <cellStyle name="25*62*210_PACKING LIST-V3" xfId="77"/>
    <cellStyle name="40% - 輔色1" xfId="78"/>
    <cellStyle name="40% - 輔色2" xfId="79"/>
    <cellStyle name="40% - 輔色3" xfId="80"/>
    <cellStyle name="40% - 輔色4" xfId="81"/>
    <cellStyle name="40% - 輔色5" xfId="82"/>
    <cellStyle name="40% - 輔色6" xfId="83"/>
    <cellStyle name="40% - 强调文字颜色 1 2" xfId="84"/>
    <cellStyle name="40% - 强调文字颜色 1 2 2" xfId="85"/>
    <cellStyle name="40% - 强调文字颜色 1 3" xfId="86"/>
    <cellStyle name="40% - 强调文字颜色 2 2" xfId="87"/>
    <cellStyle name="40% - 强调文字颜色 2 2 2" xfId="88"/>
    <cellStyle name="40% - 强调文字颜色 2 3" xfId="89"/>
    <cellStyle name="40% - 强调文字颜色 3 2" xfId="90"/>
    <cellStyle name="40% - 强调文字颜色 3 2 2" xfId="91"/>
    <cellStyle name="40% - 强调文字颜色 3 3" xfId="92"/>
    <cellStyle name="40% - 强调文字颜色 4 2" xfId="93"/>
    <cellStyle name="40% - 强调文字颜色 4 2 2" xfId="94"/>
    <cellStyle name="40% - 强调文字颜色 4 3" xfId="95"/>
    <cellStyle name="40% - 强调文字颜色 5 2" xfId="96"/>
    <cellStyle name="40% - 强调文字颜色 5 2 2" xfId="97"/>
    <cellStyle name="40% - 强调文字颜色 5 3" xfId="98"/>
    <cellStyle name="40% - 强调文字颜色 6 2" xfId="99"/>
    <cellStyle name="40% - 强调文字颜色 6 2 2" xfId="100"/>
    <cellStyle name="40% - 强调文字颜色 6 3" xfId="101"/>
    <cellStyle name="60% - 輔色1" xfId="102"/>
    <cellStyle name="60% - 輔色2" xfId="103"/>
    <cellStyle name="60% - 輔色3" xfId="104"/>
    <cellStyle name="60% - 輔色4" xfId="105"/>
    <cellStyle name="60% - 輔色5" xfId="106"/>
    <cellStyle name="60% - 輔色6" xfId="107"/>
    <cellStyle name="60% - 强调文字颜色 1 2" xfId="108"/>
    <cellStyle name="60% - 强调文字颜色 1 2 2" xfId="109"/>
    <cellStyle name="60% - 强调文字颜色 1 3" xfId="110"/>
    <cellStyle name="60% - 强调文字颜色 2 2" xfId="111"/>
    <cellStyle name="60% - 强调文字颜色 2 2 2" xfId="112"/>
    <cellStyle name="60% - 强调文字颜色 2 3" xfId="113"/>
    <cellStyle name="60% - 强调文字颜色 3 2" xfId="114"/>
    <cellStyle name="60% - 强调文字颜色 3 2 2" xfId="115"/>
    <cellStyle name="60% - 强调文字颜色 3 3" xfId="116"/>
    <cellStyle name="60% - 强调文字颜色 4 2" xfId="117"/>
    <cellStyle name="60% - 强调文字颜色 4 2 2" xfId="118"/>
    <cellStyle name="60% - 强调文字颜色 4 3" xfId="119"/>
    <cellStyle name="60% - 强调文字颜色 5 2" xfId="120"/>
    <cellStyle name="60% - 强调文字颜色 5 2 2" xfId="121"/>
    <cellStyle name="60% - 强调文字颜色 5 3" xfId="122"/>
    <cellStyle name="60% - 强调文字颜色 6 2" xfId="123"/>
    <cellStyle name="60% - 强调文字颜色 6 2 2" xfId="124"/>
    <cellStyle name="60% - 强调文字颜色 6 3" xfId="125"/>
    <cellStyle name="Comma0" xfId="126"/>
    <cellStyle name="Comma0 2" xfId="127"/>
    <cellStyle name="Currency_SZ validated order follow up(Rumba)_new" xfId="128"/>
    <cellStyle name="Currency0" xfId="129"/>
    <cellStyle name="Currency0 2" xfId="130"/>
    <cellStyle name="Date" xfId="131"/>
    <cellStyle name="Date 2" xfId="132"/>
    <cellStyle name="Fixed" xfId="133"/>
    <cellStyle name="Fixed 2" xfId="134"/>
    <cellStyle name="Heading 1" xfId="135"/>
    <cellStyle name="Heading 2" xfId="136"/>
    <cellStyle name="Normal 2" xfId="137"/>
    <cellStyle name="Normal 3" xfId="138"/>
    <cellStyle name="Normal 3 2" xfId="139"/>
    <cellStyle name="Normal_Abu Garcia Ed.3 02-03.xls" xfId="140"/>
    <cellStyle name="Normál_Eurohold reel prices" xfId="141"/>
    <cellStyle name="Normal_Sheet1" xfId="142"/>
    <cellStyle name="Total" xfId="143"/>
    <cellStyle name="Total 2" xfId="144"/>
    <cellStyle name="備註" xfId="145"/>
    <cellStyle name="标题 1 2" xfId="146"/>
    <cellStyle name="标题 1 2 2" xfId="147"/>
    <cellStyle name="标题 1 3" xfId="148"/>
    <cellStyle name="标题 2 2" xfId="149"/>
    <cellStyle name="标题 2 2 2" xfId="150"/>
    <cellStyle name="标题 2 3" xfId="151"/>
    <cellStyle name="标题 3 2" xfId="152"/>
    <cellStyle name="标题 3 2 2" xfId="153"/>
    <cellStyle name="标题 3 3" xfId="154"/>
    <cellStyle name="标题 4 2" xfId="155"/>
    <cellStyle name="标题 4 2 2" xfId="156"/>
    <cellStyle name="标题 4 3" xfId="157"/>
    <cellStyle name="标题 5" xfId="158"/>
    <cellStyle name="标题 5 2" xfId="159"/>
    <cellStyle name="标题 6" xfId="160"/>
    <cellStyle name="標題" xfId="161"/>
    <cellStyle name="標題 1" xfId="162"/>
    <cellStyle name="標題 2" xfId="163"/>
    <cellStyle name="標題 3" xfId="164"/>
    <cellStyle name="標題 4" xfId="165"/>
    <cellStyle name="標準 2" xfId="166"/>
    <cellStyle name="標準 3" xfId="167"/>
    <cellStyle name="標準_NP List Master12.29" xfId="168"/>
    <cellStyle name="差 2" xfId="169"/>
    <cellStyle name="差 2 2" xfId="170"/>
    <cellStyle name="差 3" xfId="171"/>
    <cellStyle name="常规 14 2" xfId="172"/>
    <cellStyle name="常规 2" xfId="173"/>
    <cellStyle name="常规 2 11 2" xfId="174"/>
    <cellStyle name="常规 2 2" xfId="175"/>
    <cellStyle name="常规 2 2 2" xfId="176"/>
    <cellStyle name="常规 2 3" xfId="177"/>
    <cellStyle name="常规 2 4" xfId="178"/>
    <cellStyle name="常规 3" xfId="179"/>
    <cellStyle name="常规 4" xfId="180"/>
    <cellStyle name="常规 4 2" xfId="181"/>
    <cellStyle name="常规 5" xfId="182"/>
    <cellStyle name="常规 5 2" xfId="183"/>
    <cellStyle name="常规 6" xfId="184"/>
    <cellStyle name="常规_PACKING LIST-V3" xfId="185"/>
    <cellStyle name="常规_PI" xfId="186"/>
    <cellStyle name="常规_生产制造单_74 2" xfId="187"/>
    <cellStyle name="輔色1" xfId="188"/>
    <cellStyle name="輔色2" xfId="189"/>
    <cellStyle name="輔色3" xfId="190"/>
    <cellStyle name="輔色4" xfId="191"/>
    <cellStyle name="輔色5" xfId="192"/>
    <cellStyle name="輔色6" xfId="193"/>
    <cellStyle name="好 2" xfId="194"/>
    <cellStyle name="合計" xfId="195"/>
    <cellStyle name="壞" xfId="196"/>
    <cellStyle name="汇总 2" xfId="197"/>
    <cellStyle name="汇总 2 2" xfId="198"/>
    <cellStyle name="汇总 3" xfId="199"/>
    <cellStyle name="计算 2" xfId="200"/>
    <cellStyle name="计算 2 2" xfId="201"/>
    <cellStyle name="计算 3" xfId="202"/>
    <cellStyle name="計算方式" xfId="203"/>
    <cellStyle name="检查单元格 2" xfId="204"/>
    <cellStyle name="检查单元格 2 2" xfId="205"/>
    <cellStyle name="检查单元格 3" xfId="206"/>
    <cellStyle name="檢查儲存格" xfId="207"/>
    <cellStyle name="解释性文本 2" xfId="208"/>
    <cellStyle name="解释性文本 2 2" xfId="209"/>
    <cellStyle name="解释性文本 3" xfId="210"/>
    <cellStyle name="警告文本 2" xfId="211"/>
    <cellStyle name="警告文本 2 2" xfId="212"/>
    <cellStyle name="警告文本 3" xfId="213"/>
    <cellStyle name="警告文字" xfId="214"/>
    <cellStyle name="連結的儲存格" xfId="215"/>
    <cellStyle name="链接单元格 2" xfId="216"/>
    <cellStyle name="链接单元格 2 2" xfId="217"/>
    <cellStyle name="链接单元格 3" xfId="218"/>
    <cellStyle name="똿뗦먛귟 [0.00]_PRODUCT DETAIL Q1" xfId="219"/>
    <cellStyle name="똿뗦먛귟_PRODUCT DETAIL Q1" xfId="220"/>
    <cellStyle name="千位分隔[0] 2" xfId="221"/>
    <cellStyle name="强调文字颜色 1 2" xfId="222"/>
    <cellStyle name="强调文字颜色 1 2 2" xfId="223"/>
    <cellStyle name="强调文字颜色 1 3" xfId="224"/>
    <cellStyle name="强调文字颜色 2 2" xfId="225"/>
    <cellStyle name="强调文字颜色 2 2 2" xfId="226"/>
    <cellStyle name="强调文字颜色 2 3" xfId="227"/>
    <cellStyle name="强调文字颜色 3 2" xfId="228"/>
    <cellStyle name="强调文字颜色 3 2 2" xfId="229"/>
    <cellStyle name="强调文字颜色 3 3" xfId="230"/>
    <cellStyle name="强调文字颜色 4 2" xfId="231"/>
    <cellStyle name="强调文字颜色 4 2 2" xfId="232"/>
    <cellStyle name="强调文字颜色 4 3" xfId="233"/>
    <cellStyle name="强调文字颜色 5 2" xfId="234"/>
    <cellStyle name="强调文字颜色 5 2 2" xfId="235"/>
    <cellStyle name="强调文字颜色 5 3" xfId="236"/>
    <cellStyle name="强调文字颜色 6 2" xfId="237"/>
    <cellStyle name="强调文字颜色 6 2 2" xfId="238"/>
    <cellStyle name="强调文字颜色 6 3" xfId="239"/>
    <cellStyle name="适中 2" xfId="240"/>
    <cellStyle name="适中 2 2" xfId="241"/>
    <cellStyle name="适中 3" xfId="242"/>
    <cellStyle name="输出 2" xfId="243"/>
    <cellStyle name="输出 2 2" xfId="244"/>
    <cellStyle name="输出 3" xfId="245"/>
    <cellStyle name="输入 2" xfId="246"/>
    <cellStyle name="输入 2 2" xfId="247"/>
    <cellStyle name="输入 3" xfId="248"/>
    <cellStyle name="輸出" xfId="249"/>
    <cellStyle name="輸入" xfId="250"/>
    <cellStyle name="說明文字" xfId="251"/>
    <cellStyle name="未定義" xfId="252"/>
    <cellStyle name="样式 1" xfId="253"/>
    <cellStyle name="一般_2004 PF China forecast on Global Sino's reels" xfId="254"/>
    <cellStyle name="믅됞 [0.00]_PRODUCT DETAIL Q1" xfId="255"/>
    <cellStyle name="믅됞_PRODUCT DETAIL Q1" xfId="256"/>
    <cellStyle name="백분율_HOBONG" xfId="257"/>
    <cellStyle name="中等" xfId="258"/>
    <cellStyle name="注释 2" xfId="259"/>
    <cellStyle name="뷭?_BOOKSHIP" xfId="260"/>
    <cellStyle name="콤마 [0]_1202" xfId="261"/>
    <cellStyle name="콤마_1202" xfId="262"/>
    <cellStyle name="통화 [0]_1202_~0048373" xfId="263"/>
    <cellStyle name="통화_1202_~0048373" xfId="264"/>
    <cellStyle name="표준_(정보부문)월별인원계획" xfId="265"/>
    <cellStyle name="常规 5 2 2" xfId="26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1</xdr:col>
      <xdr:colOff>1226185</xdr:colOff>
      <xdr:row>2</xdr:row>
      <xdr:rowOff>138430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5080"/>
          <a:ext cx="1565275" cy="647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29"/>
  <sheetViews>
    <sheetView tabSelected="1" workbookViewId="0">
      <selection activeCell="O7" sqref="O7"/>
    </sheetView>
  </sheetViews>
  <sheetFormatPr defaultColWidth="12" defaultRowHeight="17.6"/>
  <cols>
    <col min="1" max="1" width="4.83928571428571" style="5" customWidth="1"/>
    <col min="2" max="2" width="17.5446428571429" style="5" customWidth="1"/>
    <col min="3" max="3" width="11.8392857142857" style="5" customWidth="1"/>
    <col min="4" max="4" width="9.5" style="5" customWidth="1"/>
    <col min="5" max="5" width="25.5" style="5" customWidth="1"/>
    <col min="6" max="6" width="9.33928571428571" style="5" customWidth="1"/>
    <col min="7" max="7" width="10.6339285714286" style="5" customWidth="1"/>
    <col min="8" max="8" width="9" style="5" customWidth="1"/>
    <col min="9" max="9" width="8.33928571428571" style="5" customWidth="1"/>
    <col min="10" max="10" width="7.33928571428571" style="6" customWidth="1"/>
    <col min="11" max="12" width="5.66071428571429" style="6" customWidth="1"/>
    <col min="13" max="13" width="8.33928571428571" style="7" customWidth="1"/>
    <col min="14" max="16384" width="12" style="5"/>
  </cols>
  <sheetData>
    <row r="1" s="1" customFormat="1" ht="25.5" customHeight="1" spans="1:14">
      <c r="A1" s="8"/>
      <c r="B1" s="8"/>
      <c r="C1" s="8"/>
      <c r="D1" s="8"/>
      <c r="F1" s="9" t="s">
        <v>0</v>
      </c>
      <c r="G1" s="8"/>
      <c r="H1" s="8"/>
      <c r="I1" s="10"/>
      <c r="J1" s="11"/>
      <c r="K1" s="11"/>
    </row>
    <row r="2" s="1" customFormat="1" ht="15" customHeight="1" spans="1:14">
      <c r="A2" s="12"/>
      <c r="B2" s="12"/>
      <c r="C2" s="12"/>
      <c r="F2" s="12" t="s">
        <v>1</v>
      </c>
      <c r="G2" s="12"/>
      <c r="H2" s="12"/>
      <c r="I2" s="10"/>
      <c r="J2" s="11"/>
      <c r="K2" s="11"/>
    </row>
    <row r="3" s="1" customFormat="1" ht="15" customHeight="1" spans="1:14">
      <c r="A3" s="12"/>
      <c r="B3" s="12"/>
      <c r="C3" s="12"/>
      <c r="D3" s="12"/>
      <c r="E3" s="12"/>
      <c r="F3" s="12"/>
      <c r="G3" s="12"/>
      <c r="H3" s="12"/>
      <c r="I3" s="10"/>
      <c r="J3" s="11"/>
      <c r="K3" s="11"/>
    </row>
    <row r="4" ht="25" customHeight="1" spans="1:14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="2" customFormat="1" ht="16" customHeight="1" spans="1:14">
      <c r="A5" s="14"/>
      <c r="B5" s="15"/>
      <c r="C5" s="16" t="s">
        <v>3</v>
      </c>
      <c r="D5" s="17"/>
      <c r="E5" s="18"/>
      <c r="F5" s="17"/>
      <c r="G5" s="19"/>
      <c r="H5" s="20"/>
      <c r="I5" s="19"/>
      <c r="J5" s="21" t="s">
        <v>4</v>
      </c>
      <c r="K5" s="22"/>
      <c r="L5" s="22"/>
      <c r="M5" s="23"/>
    </row>
    <row r="6" s="2" customFormat="1" ht="16" customHeight="1" spans="1:14">
      <c r="A6" s="14"/>
      <c r="B6" s="15"/>
      <c r="C6" s="16" t="s">
        <v>5</v>
      </c>
      <c r="D6" s="17"/>
      <c r="E6" s="18"/>
      <c r="F6" s="14"/>
      <c r="G6" s="19"/>
      <c r="H6" s="20"/>
      <c r="I6" s="19"/>
      <c r="J6" s="23"/>
      <c r="K6" s="24"/>
      <c r="L6" s="25"/>
      <c r="M6" s="23"/>
    </row>
    <row r="7" s="2" customFormat="1" ht="16" customHeight="1" spans="1:14">
      <c r="A7" s="14"/>
      <c r="B7" s="15"/>
      <c r="C7" s="14"/>
      <c r="D7" s="26"/>
      <c r="E7" s="27"/>
      <c r="F7" s="25"/>
      <c r="G7" s="28"/>
      <c r="H7" s="29"/>
      <c r="I7" s="23"/>
      <c r="J7" s="29"/>
      <c r="K7" s="24"/>
      <c r="L7" s="29"/>
      <c r="M7" s="23"/>
    </row>
    <row r="8" s="2" customFormat="1" ht="16" customHeight="1" spans="1:14">
      <c r="A8" s="30"/>
      <c r="B8" s="31" t="s">
        <v>6</v>
      </c>
      <c r="C8" s="30" t="s">
        <v>7</v>
      </c>
      <c r="D8" s="30" t="s">
        <v>8</v>
      </c>
      <c r="E8" s="32" t="s">
        <v>9</v>
      </c>
      <c r="F8" s="32"/>
      <c r="G8" s="33" t="s">
        <v>10</v>
      </c>
      <c r="H8" s="33"/>
      <c r="I8" s="34" t="s">
        <v>11</v>
      </c>
      <c r="J8" s="34"/>
      <c r="K8" s="34" t="s">
        <v>12</v>
      </c>
      <c r="L8" s="34"/>
      <c r="M8" s="23" t="s">
        <v>13</v>
      </c>
    </row>
    <row r="9" s="2" customFormat="1" ht="16" customHeight="1" spans="1:14">
      <c r="A9" s="23"/>
      <c r="B9" s="18"/>
      <c r="C9" s="35"/>
      <c r="D9" s="23"/>
      <c r="E9" s="36"/>
      <c r="F9" s="29"/>
      <c r="G9" s="28"/>
      <c r="H9" s="29"/>
      <c r="I9" s="23"/>
      <c r="J9" s="29"/>
      <c r="K9" s="24"/>
      <c r="L9" s="29"/>
      <c r="M9" s="23"/>
    </row>
    <row r="10" s="2" customFormat="1" ht="16" customHeight="1" spans="1:14">
      <c r="A10" s="23"/>
      <c r="B10" s="37"/>
      <c r="C10" s="38" t="s">
        <v>14</v>
      </c>
      <c r="D10" s="39"/>
      <c r="E10" s="40"/>
      <c r="F10" s="40"/>
      <c r="G10" s="41"/>
      <c r="H10" s="40"/>
      <c r="I10" s="42"/>
      <c r="J10" s="40"/>
      <c r="K10" s="42"/>
      <c r="L10" s="40"/>
      <c r="M10" s="23"/>
    </row>
    <row r="11" s="2" customFormat="1" ht="51" customHeight="1" spans="1:14">
      <c r="A11" s="23"/>
      <c r="B11" s="43"/>
      <c r="C11" s="43"/>
      <c r="D11" s="43"/>
      <c r="E11" s="43"/>
      <c r="F11" s="40"/>
      <c r="G11" s="44"/>
      <c r="H11" s="45"/>
      <c r="I11" s="44"/>
      <c r="J11" s="45"/>
      <c r="K11" s="44"/>
      <c r="L11" s="45"/>
      <c r="M11" s="44"/>
    </row>
    <row r="12" s="2" customFormat="1" ht="16" customHeight="1" spans="1:14">
      <c r="A12" s="23"/>
      <c r="B12" s="37">
        <v>4500028983</v>
      </c>
      <c r="C12" s="39" t="s">
        <v>15</v>
      </c>
      <c r="D12" s="39" t="s">
        <v>16</v>
      </c>
      <c r="E12" s="46">
        <v>96</v>
      </c>
      <c r="F12" s="46" t="s">
        <v>17</v>
      </c>
      <c r="G12" s="41">
        <f>38.59+3</f>
        <v>41.59</v>
      </c>
      <c r="H12" s="46" t="s">
        <v>18</v>
      </c>
      <c r="I12" s="42">
        <f>45.4+3.3</f>
        <v>48.7</v>
      </c>
      <c r="J12" s="46" t="s">
        <v>18</v>
      </c>
      <c r="K12" s="42">
        <v>0.31</v>
      </c>
      <c r="L12" s="46" t="s">
        <v>19</v>
      </c>
      <c r="M12" s="46">
        <v>6</v>
      </c>
    </row>
    <row r="13" s="3" customFormat="1" ht="16" customHeight="1" spans="1:14">
      <c r="A13" s="23"/>
      <c r="B13" s="37">
        <v>4500028983</v>
      </c>
      <c r="C13" s="39" t="s">
        <v>20</v>
      </c>
      <c r="D13" s="39" t="s">
        <v>21</v>
      </c>
      <c r="E13" s="46">
        <v>262</v>
      </c>
      <c r="F13" s="46" t="s">
        <v>17</v>
      </c>
      <c r="G13" s="41">
        <v>117.67</v>
      </c>
      <c r="H13" s="46" t="s">
        <v>18</v>
      </c>
      <c r="I13" s="41">
        <v>138.43</v>
      </c>
      <c r="J13" s="46" t="s">
        <v>18</v>
      </c>
      <c r="K13" s="42">
        <v>0.78</v>
      </c>
      <c r="L13" s="46" t="s">
        <v>19</v>
      </c>
      <c r="M13" s="46">
        <v>15</v>
      </c>
      <c r="N13" s="2"/>
    </row>
    <row r="14" s="3" customFormat="1" ht="16" customHeight="1" spans="1:14">
      <c r="A14" s="23"/>
      <c r="B14" s="37">
        <v>4500028983</v>
      </c>
      <c r="C14" s="39" t="s">
        <v>22</v>
      </c>
      <c r="D14" s="39" t="s">
        <v>23</v>
      </c>
      <c r="E14" s="46">
        <v>292</v>
      </c>
      <c r="F14" s="46" t="s">
        <v>17</v>
      </c>
      <c r="G14" s="41">
        <f>136.41+2.01</f>
        <v>138.42</v>
      </c>
      <c r="H14" s="46" t="s">
        <v>18</v>
      </c>
      <c r="I14" s="41">
        <f>160.48+2.6</f>
        <v>163.08</v>
      </c>
      <c r="J14" s="46" t="s">
        <v>18</v>
      </c>
      <c r="K14" s="42">
        <v>0.83</v>
      </c>
      <c r="L14" s="46" t="s">
        <v>19</v>
      </c>
      <c r="M14" s="46">
        <v>16</v>
      </c>
      <c r="N14" s="2"/>
    </row>
    <row r="15" s="3" customFormat="1" ht="16" customHeight="1" spans="1:14">
      <c r="A15" s="23"/>
      <c r="B15" s="37">
        <v>4500028983</v>
      </c>
      <c r="C15" s="39" t="s">
        <v>24</v>
      </c>
      <c r="D15" s="39" t="s">
        <v>25</v>
      </c>
      <c r="E15" s="46">
        <v>132</v>
      </c>
      <c r="F15" s="46" t="s">
        <v>17</v>
      </c>
      <c r="G15" s="41">
        <v>101.35</v>
      </c>
      <c r="H15" s="46" t="s">
        <v>18</v>
      </c>
      <c r="I15" s="41">
        <v>119.24</v>
      </c>
      <c r="J15" s="46" t="s">
        <v>18</v>
      </c>
      <c r="K15" s="42">
        <v>0.58</v>
      </c>
      <c r="L15" s="46" t="s">
        <v>19</v>
      </c>
      <c r="M15" s="46">
        <v>11</v>
      </c>
      <c r="N15" s="2"/>
    </row>
    <row r="16" s="3" customFormat="1" ht="16" customHeight="1" spans="1:14">
      <c r="A16" s="23"/>
      <c r="B16" s="37">
        <v>4500028983</v>
      </c>
      <c r="C16" s="39" t="s">
        <v>26</v>
      </c>
      <c r="D16" s="39" t="s">
        <v>27</v>
      </c>
      <c r="E16" s="46">
        <v>425</v>
      </c>
      <c r="F16" s="46" t="s">
        <v>17</v>
      </c>
      <c r="G16" s="41">
        <f>245.62+175.44</f>
        <v>421.06</v>
      </c>
      <c r="H16" s="46" t="s">
        <v>18</v>
      </c>
      <c r="I16" s="42">
        <f>288.96+206.4</f>
        <v>495.36</v>
      </c>
      <c r="J16" s="46" t="s">
        <v>18</v>
      </c>
      <c r="K16" s="42">
        <f>1.55+1.11</f>
        <v>2.66</v>
      </c>
      <c r="L16" s="46" t="s">
        <v>19</v>
      </c>
      <c r="M16" s="46">
        <v>36</v>
      </c>
      <c r="N16" s="2"/>
    </row>
    <row r="17" s="2" customFormat="1" ht="16" customHeight="1" spans="1:81">
      <c r="A17" s="23"/>
      <c r="B17" s="37">
        <v>4500030322</v>
      </c>
      <c r="C17" s="39" t="s">
        <v>15</v>
      </c>
      <c r="D17" s="39" t="s">
        <v>16</v>
      </c>
      <c r="E17" s="46">
        <v>16</v>
      </c>
      <c r="F17" s="46" t="s">
        <v>17</v>
      </c>
      <c r="G17" s="41">
        <v>6.77</v>
      </c>
      <c r="H17" s="46" t="s">
        <v>18</v>
      </c>
      <c r="I17" s="41">
        <v>7.96</v>
      </c>
      <c r="J17" s="46" t="s">
        <v>18</v>
      </c>
      <c r="K17" s="42">
        <v>0.05</v>
      </c>
      <c r="L17" s="46" t="s">
        <v>19</v>
      </c>
      <c r="M17" s="46">
        <v>1</v>
      </c>
    </row>
    <row r="18" s="2" customFormat="1" ht="16" customHeight="1" spans="1:81">
      <c r="A18" s="23"/>
      <c r="B18" s="37">
        <v>4500030322</v>
      </c>
      <c r="C18" s="39" t="s">
        <v>20</v>
      </c>
      <c r="D18" s="39" t="s">
        <v>21</v>
      </c>
      <c r="E18" s="46">
        <v>54</v>
      </c>
      <c r="F18" s="46" t="s">
        <v>17</v>
      </c>
      <c r="G18" s="41">
        <v>24.17</v>
      </c>
      <c r="H18" s="46" t="s">
        <v>18</v>
      </c>
      <c r="I18" s="41">
        <v>28.44</v>
      </c>
      <c r="J18" s="46" t="s">
        <v>18</v>
      </c>
      <c r="K18" s="42">
        <v>0.16</v>
      </c>
      <c r="L18" s="46" t="s">
        <v>19</v>
      </c>
      <c r="M18" s="46">
        <v>3</v>
      </c>
    </row>
    <row r="19" s="4" customFormat="1" ht="16" customHeight="1" spans="1:81">
      <c r="A19" s="47"/>
      <c r="B19" s="48"/>
      <c r="C19" s="47"/>
      <c r="D19" s="47"/>
      <c r="E19" s="48"/>
      <c r="F19" s="49"/>
      <c r="G19" s="50"/>
      <c r="H19" s="51"/>
      <c r="I19" s="47"/>
      <c r="J19" s="52"/>
      <c r="K19" s="53"/>
      <c r="L19" s="49"/>
      <c r="M19" s="23"/>
    </row>
    <row r="20" ht="16" customHeight="1" spans="1:81">
      <c r="A20" s="54" t="s">
        <v>28</v>
      </c>
      <c r="B20" s="27"/>
      <c r="C20" s="54"/>
      <c r="D20" s="19"/>
      <c r="E20" s="36">
        <f t="shared" ref="E20:I20" si="0">SUM(E10:E19)</f>
        <v>1277</v>
      </c>
      <c r="F20" s="55" t="s">
        <v>17</v>
      </c>
      <c r="G20" s="42">
        <f t="shared" si="0"/>
        <v>851.03</v>
      </c>
      <c r="H20" s="56" t="s">
        <v>18</v>
      </c>
      <c r="I20" s="56">
        <f t="shared" si="0"/>
        <v>1001.21</v>
      </c>
      <c r="J20" s="56" t="s">
        <v>18</v>
      </c>
      <c r="K20" s="56">
        <f>SUM(K10:K19)</f>
        <v>5.37</v>
      </c>
      <c r="L20" s="55" t="s">
        <v>19</v>
      </c>
      <c r="M20" s="56">
        <f>SUM(M10:M19)</f>
        <v>88</v>
      </c>
    </row>
    <row r="21" s="2" customFormat="1" ht="16" customHeight="1" spans="1:81">
      <c r="A21" s="57"/>
      <c r="B21" s="58"/>
      <c r="C21" s="57"/>
      <c r="D21" s="59"/>
      <c r="E21" s="60"/>
      <c r="F21" s="61"/>
      <c r="G21" s="62"/>
      <c r="H21" s="57"/>
      <c r="I21" s="59"/>
      <c r="J21" s="57"/>
      <c r="K21" s="63"/>
      <c r="L21" s="57"/>
      <c r="M21" s="59"/>
      <c r="O21" s="64"/>
    </row>
    <row r="22" s="2" customFormat="1" ht="16" customHeight="1" spans="1:81">
      <c r="A22" s="57"/>
      <c r="B22" s="58"/>
      <c r="C22" s="57"/>
      <c r="D22" s="59"/>
      <c r="E22" s="60"/>
      <c r="F22" s="61"/>
      <c r="G22" s="62"/>
      <c r="H22" s="57"/>
      <c r="I22" s="59"/>
      <c r="J22" s="57"/>
      <c r="K22" s="63"/>
      <c r="L22" s="57"/>
      <c r="M22" s="59"/>
    </row>
    <row r="23" s="2" customFormat="1" ht="16" customHeight="1" spans="1:81">
      <c r="A23" s="65" t="s">
        <v>29</v>
      </c>
      <c r="B23" s="58"/>
      <c r="C23" s="65"/>
      <c r="D23" s="59"/>
      <c r="E23" s="60"/>
      <c r="F23" s="61"/>
      <c r="G23" s="62"/>
      <c r="H23" s="57"/>
      <c r="I23" s="59"/>
      <c r="J23" s="57"/>
      <c r="K23" s="63"/>
      <c r="L23" s="57"/>
      <c r="M23" s="59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</row>
    <row r="24" spans="1:81">
      <c r="A24" s="65" t="s">
        <v>30</v>
      </c>
      <c r="B24" s="58"/>
      <c r="C24" s="65"/>
      <c r="D24" s="66"/>
      <c r="E24" s="60"/>
      <c r="F24" s="61"/>
      <c r="G24" s="62"/>
      <c r="H24" s="57"/>
      <c r="I24" s="59"/>
      <c r="J24" s="57"/>
      <c r="K24" s="63"/>
      <c r="L24" s="57"/>
      <c r="M24" s="59"/>
    </row>
    <row r="25" spans="1:81">
      <c r="A25" s="65" t="s">
        <v>31</v>
      </c>
      <c r="B25" s="58"/>
      <c r="C25" s="65"/>
      <c r="D25" s="59"/>
      <c r="E25" s="60"/>
      <c r="F25" s="61"/>
      <c r="G25" s="62"/>
      <c r="H25" s="57"/>
      <c r="I25" s="59"/>
      <c r="J25" s="57"/>
      <c r="K25" s="63"/>
      <c r="L25" s="57"/>
      <c r="M25" s="59"/>
    </row>
    <row r="28" spans="1:81">
      <c r="I28" s="6"/>
    </row>
    <row r="29" spans="1:81">
      <c r="I29" s="6"/>
    </row>
  </sheetData>
  <mergeCells count="6">
    <mergeCell ref="A4:M4"/>
    <mergeCell ref="K5:L5"/>
    <mergeCell ref="E8:F8"/>
    <mergeCell ref="G8:H8"/>
    <mergeCell ref="I8:J8"/>
    <mergeCell ref="K8:L8"/>
  </mergeCells>
  <printOptions horizontalCentered="1"/>
  <pageMargins left="0" right="0" top="0.196527777777778" bottom="0.196527777777778" header="0.511111111111111" footer="0.511111111111111"/>
  <pageSetup paperSize="9" scale="76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globalsino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huangying</dc:creator>
  <cp:lastModifiedBy>tony</cp:lastModifiedBy>
  <cp:revision>1</cp:revision>
  <dcterms:created xsi:type="dcterms:W3CDTF">2006-08-24T09:54:00Z</dcterms:created>
  <cp:lastPrinted>2019-09-24T10:36:00Z</cp:lastPrinted>
  <dcterms:modified xsi:type="dcterms:W3CDTF">2026-06-09T15:43:28Z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3E4004F6ED90486387DCD31373BEC848_13</vt:lpwstr>
  </property>
  <property fmtid="{D5CDD505-2E9C-101B-9397-08002B2CF9AE}" pid="4" name="CalculationRule">
    <vt:i4>0</vt:i4>
  </property>
</Properties>
</file>